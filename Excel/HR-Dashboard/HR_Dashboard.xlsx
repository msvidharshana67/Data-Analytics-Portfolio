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slicers/slicer5.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6.xml" ContentType="application/vnd.openxmlformats-officedocument.drawing+xml"/>
  <Override PartName="/xl/slicers/slicer6.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7.xml" ContentType="application/vnd.openxmlformats-officedocument.drawing+xml"/>
  <Override PartName="/xl/slicers/slicer7.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vidhu\Desktop\DA - Projects\Vidharshana Project\Excel project files\"/>
    </mc:Choice>
  </mc:AlternateContent>
  <xr:revisionPtr revIDLastSave="0" documentId="13_ncr:1_{9F4F5E2E-4D98-4C0D-B3CE-AF7815F6CEA7}" xr6:coauthVersionLast="47" xr6:coauthVersionMax="47" xr10:uidLastSave="{00000000-0000-0000-0000-000000000000}"/>
  <bookViews>
    <workbookView xWindow="-108" yWindow="-108" windowWidth="23256" windowHeight="12456" xr2:uid="{E840863A-8767-4105-8444-4E8D5C1E4A58}"/>
  </bookViews>
  <sheets>
    <sheet name="HR_datas" sheetId="1" r:id="rId1"/>
    <sheet name="Pivot" sheetId="2" r:id="rId2"/>
    <sheet name="Main_Dashboard" sheetId="3" r:id="rId3"/>
    <sheet name="Head_count" sheetId="4" r:id="rId4"/>
    <sheet name="Attrition_rate" sheetId="9" r:id="rId5"/>
    <sheet name="Salary" sheetId="10" r:id="rId6"/>
    <sheet name="Performance" sheetId="11" r:id="rId7"/>
    <sheet name="Diversity" sheetId="12" r:id="rId8"/>
  </sheets>
  <definedNames>
    <definedName name="Slicer_Attrition">#N/A</definedName>
    <definedName name="Slicer_Department">#N/A</definedName>
    <definedName name="Slicer_Gender">#N/A</definedName>
    <definedName name="Slicer_WorkLocat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12" l="1"/>
  <c r="A7" i="10"/>
  <c r="A6" i="10"/>
  <c r="A9" i="3"/>
  <c r="A10" i="9"/>
  <c r="A6" i="9"/>
  <c r="A9" i="12"/>
  <c r="A7" i="11"/>
  <c r="A9" i="11"/>
  <c r="A9" i="10"/>
  <c r="A7" i="4"/>
  <c r="A6" i="4"/>
  <c r="A9" i="9"/>
  <c r="A8" i="4"/>
  <c r="A8" i="10"/>
  <c r="A10" i="10"/>
  <c r="A7" i="9"/>
  <c r="A8" i="11"/>
  <c r="A8" i="3"/>
  <c r="A6" i="3"/>
  <c r="A8" i="12"/>
  <c r="A10" i="4"/>
  <c r="A8" i="9"/>
  <c r="A9" i="4"/>
  <c r="A6" i="12"/>
  <c r="A10" i="11"/>
  <c r="A10" i="12"/>
  <c r="A7" i="3"/>
  <c r="A10" i="3"/>
  <c r="A6" i="11"/>
</calcChain>
</file>

<file path=xl/sharedStrings.xml><?xml version="1.0" encoding="utf-8"?>
<sst xmlns="http://schemas.openxmlformats.org/spreadsheetml/2006/main" count="2721" uniqueCount="936">
  <si>
    <t>EmployeeID</t>
  </si>
  <si>
    <t>EmployeeName</t>
  </si>
  <si>
    <t>Gender</t>
  </si>
  <si>
    <t>Age</t>
  </si>
  <si>
    <t>Department</t>
  </si>
  <si>
    <t>JobRole</t>
  </si>
  <si>
    <t>Education</t>
  </si>
  <si>
    <t>ExperienceYears</t>
  </si>
  <si>
    <t>Salary</t>
  </si>
  <si>
    <t>PerformanceRating</t>
  </si>
  <si>
    <t>Attrition</t>
  </si>
  <si>
    <t>WorkLocation</t>
  </si>
  <si>
    <t>JoiningYear</t>
  </si>
  <si>
    <t>E001</t>
  </si>
  <si>
    <t>Aarav</t>
  </si>
  <si>
    <t>Male</t>
  </si>
  <si>
    <t>IT</t>
  </si>
  <si>
    <t>Software Engineer</t>
  </si>
  <si>
    <t>Bachelor</t>
  </si>
  <si>
    <t>No</t>
  </si>
  <si>
    <t>Bangalore</t>
  </si>
  <si>
    <t>E002</t>
  </si>
  <si>
    <t>Diya</t>
  </si>
  <si>
    <t>Female</t>
  </si>
  <si>
    <t>HR</t>
  </si>
  <si>
    <t>HR Executive</t>
  </si>
  <si>
    <t>MBA</t>
  </si>
  <si>
    <t>Chennai</t>
  </si>
  <si>
    <t>E003</t>
  </si>
  <si>
    <t>Rohan</t>
  </si>
  <si>
    <t>Finance</t>
  </si>
  <si>
    <t>Accountant</t>
  </si>
  <si>
    <t>Mumbai</t>
  </si>
  <si>
    <t>E004</t>
  </si>
  <si>
    <t>Ananya</t>
  </si>
  <si>
    <t>QA Engineer</t>
  </si>
  <si>
    <t>Hyderabad</t>
  </si>
  <si>
    <t>E005</t>
  </si>
  <si>
    <t>Karthik</t>
  </si>
  <si>
    <t>Operations</t>
  </si>
  <si>
    <t>Operations Manager</t>
  </si>
  <si>
    <t>E006</t>
  </si>
  <si>
    <t>Priya</t>
  </si>
  <si>
    <t>Sales</t>
  </si>
  <si>
    <t>Sales Executive</t>
  </si>
  <si>
    <t>Delhi</t>
  </si>
  <si>
    <t>E007</t>
  </si>
  <si>
    <t>Vikram</t>
  </si>
  <si>
    <t>Marketing</t>
  </si>
  <si>
    <t>Digital Marketer</t>
  </si>
  <si>
    <t>Yes</t>
  </si>
  <si>
    <t>Pune</t>
  </si>
  <si>
    <t>E008</t>
  </si>
  <si>
    <t>Neha</t>
  </si>
  <si>
    <t>HR Manager</t>
  </si>
  <si>
    <t>E009</t>
  </si>
  <si>
    <t>Arjun</t>
  </si>
  <si>
    <t>Intern</t>
  </si>
  <si>
    <t>Diploma</t>
  </si>
  <si>
    <t>E010</t>
  </si>
  <si>
    <t>Sneha</t>
  </si>
  <si>
    <t>Finance Manager</t>
  </si>
  <si>
    <t>E011</t>
  </si>
  <si>
    <t>Rahul</t>
  </si>
  <si>
    <t>E012</t>
  </si>
  <si>
    <t>Pooja</t>
  </si>
  <si>
    <t>E013</t>
  </si>
  <si>
    <t>Manish</t>
  </si>
  <si>
    <t>Plant Head</t>
  </si>
  <si>
    <t>E014</t>
  </si>
  <si>
    <t>Aditi</t>
  </si>
  <si>
    <t>Content Strategist</t>
  </si>
  <si>
    <t>Master</t>
  </si>
  <si>
    <t>E015</t>
  </si>
  <si>
    <t>Suresh</t>
  </si>
  <si>
    <t>Tech Lead</t>
  </si>
  <si>
    <t>E016</t>
  </si>
  <si>
    <t>Kavya</t>
  </si>
  <si>
    <t>Recruiter</t>
  </si>
  <si>
    <t>E017</t>
  </si>
  <si>
    <t>Amit</t>
  </si>
  <si>
    <t>Financial Analyst</t>
  </si>
  <si>
    <t>E018</t>
  </si>
  <si>
    <t>Nisha</t>
  </si>
  <si>
    <t>UI/UX Designer</t>
  </si>
  <si>
    <t>E019</t>
  </si>
  <si>
    <t>Ravi</t>
  </si>
  <si>
    <t>Regional Manager</t>
  </si>
  <si>
    <t>E020</t>
  </si>
  <si>
    <t>Meera</t>
  </si>
  <si>
    <t>SEO Analyst</t>
  </si>
  <si>
    <t>E021</t>
  </si>
  <si>
    <t>Deepak</t>
  </si>
  <si>
    <t>Supervisor</t>
  </si>
  <si>
    <t>E022</t>
  </si>
  <si>
    <t>Swathi</t>
  </si>
  <si>
    <t>Audit Manager</t>
  </si>
  <si>
    <t>E023</t>
  </si>
  <si>
    <t>Ajay</t>
  </si>
  <si>
    <t>System Administrator</t>
  </si>
  <si>
    <t>E024</t>
  </si>
  <si>
    <t>Rekha</t>
  </si>
  <si>
    <t>HR Business Partner</t>
  </si>
  <si>
    <t>E025</t>
  </si>
  <si>
    <t>Naveen</t>
  </si>
  <si>
    <t>Key Account Manager</t>
  </si>
  <si>
    <t>E026</t>
  </si>
  <si>
    <t>Divya</t>
  </si>
  <si>
    <t>Data Analyst</t>
  </si>
  <si>
    <t>E027</t>
  </si>
  <si>
    <t>Sanjay</t>
  </si>
  <si>
    <t>Logistics Manager</t>
  </si>
  <si>
    <t>E028</t>
  </si>
  <si>
    <t>Anjali</t>
  </si>
  <si>
    <t>Marketing Trainee</t>
  </si>
  <si>
    <t>E029</t>
  </si>
  <si>
    <t>Mukesh</t>
  </si>
  <si>
    <t>Tax Consultant</t>
  </si>
  <si>
    <t>E030</t>
  </si>
  <si>
    <t>Shalini</t>
  </si>
  <si>
    <t>Project Coordinator</t>
  </si>
  <si>
    <t>E031</t>
  </si>
  <si>
    <t>Ritesh</t>
  </si>
  <si>
    <t>E032</t>
  </si>
  <si>
    <t>Monika</t>
  </si>
  <si>
    <t>Training Manager</t>
  </si>
  <si>
    <t>E033</t>
  </si>
  <si>
    <t>Prakash</t>
  </si>
  <si>
    <t>Maintenance Head</t>
  </si>
  <si>
    <t>E034</t>
  </si>
  <si>
    <t>Simran</t>
  </si>
  <si>
    <t>Frontend Developer</t>
  </si>
  <si>
    <t>E035</t>
  </si>
  <si>
    <t>Harish</t>
  </si>
  <si>
    <t>Cost Accountant</t>
  </si>
  <si>
    <t>E036</t>
  </si>
  <si>
    <t>Sunita</t>
  </si>
  <si>
    <t>Sales Coordinator</t>
  </si>
  <si>
    <t>E037</t>
  </si>
  <si>
    <t>Rajesh</t>
  </si>
  <si>
    <t>Operations Director</t>
  </si>
  <si>
    <t>E038</t>
  </si>
  <si>
    <t>Preeti</t>
  </si>
  <si>
    <t>Brand Executive</t>
  </si>
  <si>
    <t>E039</t>
  </si>
  <si>
    <t>Kunal</t>
  </si>
  <si>
    <t>Support Engineer</t>
  </si>
  <si>
    <t>E040</t>
  </si>
  <si>
    <t>Lakshmi</t>
  </si>
  <si>
    <t>Senior Accountant</t>
  </si>
  <si>
    <t>E041</t>
  </si>
  <si>
    <t>Vivek</t>
  </si>
  <si>
    <t>Area Sales Manager</t>
  </si>
  <si>
    <t>E042</t>
  </si>
  <si>
    <t>Pallavi</t>
  </si>
  <si>
    <t>HR Analyst</t>
  </si>
  <si>
    <t>E043</t>
  </si>
  <si>
    <t>Surya</t>
  </si>
  <si>
    <t>Backend Developer</t>
  </si>
  <si>
    <t>E044</t>
  </si>
  <si>
    <t>Isha</t>
  </si>
  <si>
    <t>PR Manager</t>
  </si>
  <si>
    <t>E045</t>
  </si>
  <si>
    <t>Ganesh</t>
  </si>
  <si>
    <t>Warehouse Manager</t>
  </si>
  <si>
    <t>E046</t>
  </si>
  <si>
    <t>Rina</t>
  </si>
  <si>
    <t>Junior Accountant</t>
  </si>
  <si>
    <t>E047</t>
  </si>
  <si>
    <t>Akash</t>
  </si>
  <si>
    <t>Cloud Engineer</t>
  </si>
  <si>
    <t>E048</t>
  </si>
  <si>
    <t>Sowmya</t>
  </si>
  <si>
    <t>Compensation Analyst</t>
  </si>
  <si>
    <t>E049</t>
  </si>
  <si>
    <t>Imran</t>
  </si>
  <si>
    <t>Channel Manager</t>
  </si>
  <si>
    <t>E050</t>
  </si>
  <si>
    <t>Keerthi</t>
  </si>
  <si>
    <t>Social Media Executive</t>
  </si>
  <si>
    <t>E051</t>
  </si>
  <si>
    <t>Varun</t>
  </si>
  <si>
    <t>DevOps Engineer</t>
  </si>
  <si>
    <t>E052</t>
  </si>
  <si>
    <t>Ankita</t>
  </si>
  <si>
    <t>Talent Acquisition Specialist</t>
  </si>
  <si>
    <t>E053</t>
  </si>
  <si>
    <t>Ramesh</t>
  </si>
  <si>
    <t>Senior Finance Controller</t>
  </si>
  <si>
    <t>E054</t>
  </si>
  <si>
    <t>Pavithra</t>
  </si>
  <si>
    <t>Inside Sales Executive</t>
  </si>
  <si>
    <t>E055</t>
  </si>
  <si>
    <t>Siddharth</t>
  </si>
  <si>
    <t>Marketing Manager</t>
  </si>
  <si>
    <t>E056</t>
  </si>
  <si>
    <t>Deepa</t>
  </si>
  <si>
    <t>Operations Lead</t>
  </si>
  <si>
    <t>E057</t>
  </si>
  <si>
    <t>Nitin</t>
  </si>
  <si>
    <t>Mobile App Developer</t>
  </si>
  <si>
    <t>E058</t>
  </si>
  <si>
    <t>Reshma</t>
  </si>
  <si>
    <t>Budget Analyst</t>
  </si>
  <si>
    <t>E059</t>
  </si>
  <si>
    <t>Alok</t>
  </si>
  <si>
    <t>HR Coordinator</t>
  </si>
  <si>
    <t>E060</t>
  </si>
  <si>
    <t>Saranya</t>
  </si>
  <si>
    <t>National Sales Manager</t>
  </si>
  <si>
    <t>E061</t>
  </si>
  <si>
    <t>Rohit</t>
  </si>
  <si>
    <t>Graduate Trainee</t>
  </si>
  <si>
    <t>E062</t>
  </si>
  <si>
    <t>Shreya</t>
  </si>
  <si>
    <t>Campaign Manager</t>
  </si>
  <si>
    <t>E063</t>
  </si>
  <si>
    <t>Mahesh</t>
  </si>
  <si>
    <t>Production Manager</t>
  </si>
  <si>
    <t>E064</t>
  </si>
  <si>
    <t>Anu</t>
  </si>
  <si>
    <t>Investment Analyst</t>
  </si>
  <si>
    <t>E065</t>
  </si>
  <si>
    <t>Kishore</t>
  </si>
  <si>
    <t>Database Administrator</t>
  </si>
  <si>
    <t>E066</t>
  </si>
  <si>
    <t>Poonam</t>
  </si>
  <si>
    <t>HR Assistant</t>
  </si>
  <si>
    <t>E067</t>
  </si>
  <si>
    <t>Pradeep</t>
  </si>
  <si>
    <t>Zonal Sales Head</t>
  </si>
  <si>
    <t>E068</t>
  </si>
  <si>
    <t>Meghana</t>
  </si>
  <si>
    <t>Creative Lead</t>
  </si>
  <si>
    <t>E069</t>
  </si>
  <si>
    <t>Arvind</t>
  </si>
  <si>
    <t>Network Engineer</t>
  </si>
  <si>
    <t>E070</t>
  </si>
  <si>
    <t>Farah</t>
  </si>
  <si>
    <t>Compliance Manager</t>
  </si>
  <si>
    <t>E071</t>
  </si>
  <si>
    <t>Raj</t>
  </si>
  <si>
    <t>Process Improvement Lead</t>
  </si>
  <si>
    <t>E072</t>
  </si>
  <si>
    <t>Kiran</t>
  </si>
  <si>
    <t>Customer Relationship Executive</t>
  </si>
  <si>
    <t>E073</t>
  </si>
  <si>
    <t>Abhishek</t>
  </si>
  <si>
    <t>Security Architect</t>
  </si>
  <si>
    <t>E074</t>
  </si>
  <si>
    <t>Nandini</t>
  </si>
  <si>
    <t>Learning &amp; Development Specialist</t>
  </si>
  <si>
    <t>E075</t>
  </si>
  <si>
    <t>Shyam</t>
  </si>
  <si>
    <t>Plant Director</t>
  </si>
  <si>
    <t>E076</t>
  </si>
  <si>
    <t>Prianka</t>
  </si>
  <si>
    <t>Marketing Intern</t>
  </si>
  <si>
    <t>E077</t>
  </si>
  <si>
    <t>Sameer</t>
  </si>
  <si>
    <t>Risk Analyst</t>
  </si>
  <si>
    <t>E078</t>
  </si>
  <si>
    <t>Sweta</t>
  </si>
  <si>
    <t>Sales Strategy Manager</t>
  </si>
  <si>
    <t>E079</t>
  </si>
  <si>
    <t>Manoj</t>
  </si>
  <si>
    <t>Full Stack Developer</t>
  </si>
  <si>
    <t>E080</t>
  </si>
  <si>
    <t>Latha</t>
  </si>
  <si>
    <t>Employee Engagement Officer</t>
  </si>
  <si>
    <t>E081</t>
  </si>
  <si>
    <t>Yogesh</t>
  </si>
  <si>
    <t>Supply Chain Director</t>
  </si>
  <si>
    <t>E082</t>
  </si>
  <si>
    <t>Ritu</t>
  </si>
  <si>
    <t>Financial Reporting Lead</t>
  </si>
  <si>
    <t>E083</t>
  </si>
  <si>
    <t>Arun</t>
  </si>
  <si>
    <t>Business Development Executive</t>
  </si>
  <si>
    <t>E084</t>
  </si>
  <si>
    <t>Payal</t>
  </si>
  <si>
    <t>Market Research Manager</t>
  </si>
  <si>
    <t>E085</t>
  </si>
  <si>
    <t>Satish</t>
  </si>
  <si>
    <t>ERP Consultant</t>
  </si>
  <si>
    <t>E086</t>
  </si>
  <si>
    <t>Neelam</t>
  </si>
  <si>
    <t>HR Operations Executive</t>
  </si>
  <si>
    <t>E087</t>
  </si>
  <si>
    <t>Faizal</t>
  </si>
  <si>
    <t>Corporate Sales Manager</t>
  </si>
  <si>
    <t>E088</t>
  </si>
  <si>
    <t>Tanya</t>
  </si>
  <si>
    <t>Equity Research Analyst</t>
  </si>
  <si>
    <t>E089</t>
  </si>
  <si>
    <t>Quality Assurance Manager</t>
  </si>
  <si>
    <t>E090</t>
  </si>
  <si>
    <t>Ayesha</t>
  </si>
  <si>
    <t>Email Marketing Specialist</t>
  </si>
  <si>
    <t>E091</t>
  </si>
  <si>
    <t>Vishal</t>
  </si>
  <si>
    <t>Junior Data Engineer</t>
  </si>
  <si>
    <t>E092</t>
  </si>
  <si>
    <t>Reena</t>
  </si>
  <si>
    <t>HR Compliance Manager</t>
  </si>
  <si>
    <t>E093</t>
  </si>
  <si>
    <t>Raghav</t>
  </si>
  <si>
    <t>Treasury Manager</t>
  </si>
  <si>
    <t>E094</t>
  </si>
  <si>
    <t>Shobha</t>
  </si>
  <si>
    <t>Facility Management Head</t>
  </si>
  <si>
    <t>E095</t>
  </si>
  <si>
    <t>Ankit</t>
  </si>
  <si>
    <t>Sales Analyst</t>
  </si>
  <si>
    <t>E096</t>
  </si>
  <si>
    <t>Automation Test Lead</t>
  </si>
  <si>
    <t>E097</t>
  </si>
  <si>
    <t>Dinesh</t>
  </si>
  <si>
    <t>Regional Marketing Head</t>
  </si>
  <si>
    <t>E098</t>
  </si>
  <si>
    <t>Kritika</t>
  </si>
  <si>
    <t>HR Trainee</t>
  </si>
  <si>
    <t>E099</t>
  </si>
  <si>
    <t>Naresh</t>
  </si>
  <si>
    <t>Cost Control Manager</t>
  </si>
  <si>
    <t>E100</t>
  </si>
  <si>
    <t>Sonal</t>
  </si>
  <si>
    <t>Pre-Sales Consultant</t>
  </si>
  <si>
    <t>E101</t>
  </si>
  <si>
    <t>Rajiv</t>
  </si>
  <si>
    <t>API Integration Specialist</t>
  </si>
  <si>
    <t>E102</t>
  </si>
  <si>
    <t>Sonia</t>
  </si>
  <si>
    <t>Campus Hiring Executive</t>
  </si>
  <si>
    <t>E103</t>
  </si>
  <si>
    <t>Krishna</t>
  </si>
  <si>
    <t>Chief Operations Officer</t>
  </si>
  <si>
    <t>E104</t>
  </si>
  <si>
    <t>Madhu</t>
  </si>
  <si>
    <t>Revenue Analyst</t>
  </si>
  <si>
    <t>E105</t>
  </si>
  <si>
    <t>Arif</t>
  </si>
  <si>
    <t>International Sales Executive</t>
  </si>
  <si>
    <t>E106</t>
  </si>
  <si>
    <t>Sangeetha</t>
  </si>
  <si>
    <t>Product Marketing Manager</t>
  </si>
  <si>
    <t>E107</t>
  </si>
  <si>
    <t>Vimal</t>
  </si>
  <si>
    <t>IT Program Manager</t>
  </si>
  <si>
    <t>E108</t>
  </si>
  <si>
    <t>Nirmala</t>
  </si>
  <si>
    <t>HR Transformation Lead</t>
  </si>
  <si>
    <t>E109</t>
  </si>
  <si>
    <t>Suraj</t>
  </si>
  <si>
    <t>Finance Operations Analyst</t>
  </si>
  <si>
    <t>E110</t>
  </si>
  <si>
    <t>Pavani</t>
  </si>
  <si>
    <t>Operations Excellence Manager</t>
  </si>
  <si>
    <t>E111</t>
  </si>
  <si>
    <t>React Developer</t>
  </si>
  <si>
    <t>E112</t>
  </si>
  <si>
    <t>Anusha</t>
  </si>
  <si>
    <t>Enterprise Sales Manager</t>
  </si>
  <si>
    <t>E113</t>
  </si>
  <si>
    <t>Joseph</t>
  </si>
  <si>
    <t>Media Planning Head</t>
  </si>
  <si>
    <t>E114</t>
  </si>
  <si>
    <t>Rupa</t>
  </si>
  <si>
    <t>HR Documentation Executive</t>
  </si>
  <si>
    <t>E115</t>
  </si>
  <si>
    <t>Sridhar</t>
  </si>
  <si>
    <t>FP&amp;A Manager</t>
  </si>
  <si>
    <t>E116</t>
  </si>
  <si>
    <t>Deepthi</t>
  </si>
  <si>
    <t>DevOps Automation Engineer</t>
  </si>
  <si>
    <t>E117</t>
  </si>
  <si>
    <t>Lean Six Sigma Lead</t>
  </si>
  <si>
    <t>E118</t>
  </si>
  <si>
    <t>Harini</t>
  </si>
  <si>
    <t>Influencer Marketing Executive</t>
  </si>
  <si>
    <t>E119</t>
  </si>
  <si>
    <t>Vinod</t>
  </si>
  <si>
    <t>Sales Planning Analyst</t>
  </si>
  <si>
    <t>E120</t>
  </si>
  <si>
    <t>Mehul</t>
  </si>
  <si>
    <t>HR Analytics Manager</t>
  </si>
  <si>
    <t>E121</t>
  </si>
  <si>
    <t>Rakesh</t>
  </si>
  <si>
    <t>Junior Python Developer</t>
  </si>
  <si>
    <t>E122</t>
  </si>
  <si>
    <t>Anita</t>
  </si>
  <si>
    <t>Internal Audit Head</t>
  </si>
  <si>
    <t>E123</t>
  </si>
  <si>
    <t>Sachin</t>
  </si>
  <si>
    <t>Capacity Planning Manager</t>
  </si>
  <si>
    <t>E124</t>
  </si>
  <si>
    <t>Farzana</t>
  </si>
  <si>
    <t>Key Accounts Executive</t>
  </si>
  <si>
    <t>E125</t>
  </si>
  <si>
    <t>Venkatesh</t>
  </si>
  <si>
    <t>Enterprise Architect</t>
  </si>
  <si>
    <t>E126</t>
  </si>
  <si>
    <t>Neethu</t>
  </si>
  <si>
    <t>HR MIS Executive</t>
  </si>
  <si>
    <t>E127</t>
  </si>
  <si>
    <t>Sunil</t>
  </si>
  <si>
    <t>Corporate Finance Manager</t>
  </si>
  <si>
    <t>E128</t>
  </si>
  <si>
    <t>Aparna</t>
  </si>
  <si>
    <t>Customer Insights Manager</t>
  </si>
  <si>
    <t>E129</t>
  </si>
  <si>
    <t>Pranav</t>
  </si>
  <si>
    <t>Node.js Developer</t>
  </si>
  <si>
    <t>E130</t>
  </si>
  <si>
    <t>Sharmila</t>
  </si>
  <si>
    <t>Sales Enablement Executive</t>
  </si>
  <si>
    <t>E131</t>
  </si>
  <si>
    <t>Anil</t>
  </si>
  <si>
    <t>Industrial Engineering Head</t>
  </si>
  <si>
    <t>E132</t>
  </si>
  <si>
    <t>Sanjana</t>
  </si>
  <si>
    <t>HR Policy Manager</t>
  </si>
  <si>
    <t>E133</t>
  </si>
  <si>
    <t>Accounts Receivable Lead</t>
  </si>
  <si>
    <t>E134</t>
  </si>
  <si>
    <t>Ritika</t>
  </si>
  <si>
    <t>Marketing Automation Specialist</t>
  </si>
  <si>
    <t>E135</t>
  </si>
  <si>
    <t>Santosh</t>
  </si>
  <si>
    <t>National Key Accounts Head</t>
  </si>
  <si>
    <t>E136</t>
  </si>
  <si>
    <t>HR Operations Trainee</t>
  </si>
  <si>
    <t>E137</t>
  </si>
  <si>
    <t>Ajith</t>
  </si>
  <si>
    <t>Middleware Administrator</t>
  </si>
  <si>
    <t>E138</t>
  </si>
  <si>
    <t>Rashmi</t>
  </si>
  <si>
    <t>Statutory Compliance Manager</t>
  </si>
  <si>
    <t>E139</t>
  </si>
  <si>
    <t>Harsha</t>
  </si>
  <si>
    <t>Production Planning Manager</t>
  </si>
  <si>
    <t>E140</t>
  </si>
  <si>
    <t>Nikita</t>
  </si>
  <si>
    <t>Marketing Data Analyst</t>
  </si>
  <si>
    <t>E141</t>
  </si>
  <si>
    <t>Dev</t>
  </si>
  <si>
    <t>Machine Learning Engineer</t>
  </si>
  <si>
    <t>E142</t>
  </si>
  <si>
    <t>Sales Operations Manager</t>
  </si>
  <si>
    <t>E143</t>
  </si>
  <si>
    <t>Mohit</t>
  </si>
  <si>
    <t>Factory General Manager</t>
  </si>
  <si>
    <t>E144</t>
  </si>
  <si>
    <t>Seema</t>
  </si>
  <si>
    <t>HR Systems Analyst</t>
  </si>
  <si>
    <t>E145</t>
  </si>
  <si>
    <t>Financial Systems Manager</t>
  </si>
  <si>
    <t>E146</t>
  </si>
  <si>
    <t>Sales Support Executive</t>
  </si>
  <si>
    <t>E147</t>
  </si>
  <si>
    <t>Application Support Lead</t>
  </si>
  <si>
    <t>E148</t>
  </si>
  <si>
    <t>Tamanna</t>
  </si>
  <si>
    <t>Growth Marketing Manager</t>
  </si>
  <si>
    <t>E149</t>
  </si>
  <si>
    <t>Gopal</t>
  </si>
  <si>
    <t>Head of Manufacturing</t>
  </si>
  <si>
    <t>E150</t>
  </si>
  <si>
    <t>Kavitha</t>
  </si>
  <si>
    <t>HR Operations Manager</t>
  </si>
  <si>
    <t>E151</t>
  </si>
  <si>
    <t>Tejas</t>
  </si>
  <si>
    <t>Software Configuration Manager</t>
  </si>
  <si>
    <t>E152</t>
  </si>
  <si>
    <t>Rupal</t>
  </si>
  <si>
    <t>HR Shared Services Executive</t>
  </si>
  <si>
    <t>E153</t>
  </si>
  <si>
    <t>Balaji</t>
  </si>
  <si>
    <t>Chief Manufacturing Officer</t>
  </si>
  <si>
    <t>E154</t>
  </si>
  <si>
    <t>Kalyani</t>
  </si>
  <si>
    <t>Financial Controls Manager</t>
  </si>
  <si>
    <t>E155</t>
  </si>
  <si>
    <t>Faheem</t>
  </si>
  <si>
    <t>Export Sales Executive</t>
  </si>
  <si>
    <t>E156</t>
  </si>
  <si>
    <t>Sowjanya</t>
  </si>
  <si>
    <t>Corporate Communications Head</t>
  </si>
  <si>
    <t>E157</t>
  </si>
  <si>
    <t>Aravind</t>
  </si>
  <si>
    <t>Release Manager</t>
  </si>
  <si>
    <t>E158</t>
  </si>
  <si>
    <t>Sujatha</t>
  </si>
  <si>
    <t>HR Governance Head</t>
  </si>
  <si>
    <t>E159</t>
  </si>
  <si>
    <t>Rohith</t>
  </si>
  <si>
    <t>Accounts Payable Analyst</t>
  </si>
  <si>
    <t>E160</t>
  </si>
  <si>
    <t>Manasa</t>
  </si>
  <si>
    <t>Operations Reporting Manager</t>
  </si>
  <si>
    <t>E161</t>
  </si>
  <si>
    <t>Vignesh</t>
  </si>
  <si>
    <t>Angular Developer</t>
  </si>
  <si>
    <t>E162</t>
  </si>
  <si>
    <t>Nupur</t>
  </si>
  <si>
    <t>Sales Performance Manager</t>
  </si>
  <si>
    <t>E163</t>
  </si>
  <si>
    <t>Kailash</t>
  </si>
  <si>
    <t>Head of Market Expansion</t>
  </si>
  <si>
    <t>E164</t>
  </si>
  <si>
    <t>Snehal</t>
  </si>
  <si>
    <t>E165</t>
  </si>
  <si>
    <t>Madan</t>
  </si>
  <si>
    <t>Working Capital Manager</t>
  </si>
  <si>
    <t>E166</t>
  </si>
  <si>
    <t>Krithika</t>
  </si>
  <si>
    <t>Trade Marketing Executive</t>
  </si>
  <si>
    <t>E167</t>
  </si>
  <si>
    <t>Rajkumar</t>
  </si>
  <si>
    <t>Manufacturing Excellence Head</t>
  </si>
  <si>
    <t>E168</t>
  </si>
  <si>
    <t>Chandana</t>
  </si>
  <si>
    <t>Customer Lifecycle Manager</t>
  </si>
  <si>
    <t>E169</t>
  </si>
  <si>
    <t>Akhil</t>
  </si>
  <si>
    <t>Platform Engineer</t>
  </si>
  <si>
    <t>E170</t>
  </si>
  <si>
    <t>Aishwarya</t>
  </si>
  <si>
    <t>HR Reporting Analyst</t>
  </si>
  <si>
    <t>E171</t>
  </si>
  <si>
    <t>Financial Risk Head</t>
  </si>
  <si>
    <t>E172</t>
  </si>
  <si>
    <t>Rituja</t>
  </si>
  <si>
    <t>Channel Sales Executive</t>
  </si>
  <si>
    <t>E173</t>
  </si>
  <si>
    <t>Shankar</t>
  </si>
  <si>
    <t>Director of Operations</t>
  </si>
  <si>
    <t>E174</t>
  </si>
  <si>
    <t>Priyanka</t>
  </si>
  <si>
    <t>Marketing Research Intern</t>
  </si>
  <si>
    <t>E175</t>
  </si>
  <si>
    <t>Enterprise Systems Lead</t>
  </si>
  <si>
    <t>E176</t>
  </si>
  <si>
    <t>HR Employee Relations Head</t>
  </si>
  <si>
    <t>E177</t>
  </si>
  <si>
    <t>Finance Transformation Manager</t>
  </si>
  <si>
    <t>E178</t>
  </si>
  <si>
    <t>Sales Operations Analyst</t>
  </si>
  <si>
    <t>E179</t>
  </si>
  <si>
    <t>Girish</t>
  </si>
  <si>
    <t>Chief Marketing Officer</t>
  </si>
  <si>
    <t>E180</t>
  </si>
  <si>
    <t>Sunitha</t>
  </si>
  <si>
    <t>HR Business Intelligence Analyst</t>
  </si>
  <si>
    <t>E181</t>
  </si>
  <si>
    <t>Nikhil</t>
  </si>
  <si>
    <t>Associate Cloud Engineer</t>
  </si>
  <si>
    <t>E182</t>
  </si>
  <si>
    <t>Shanta</t>
  </si>
  <si>
    <t>Financial Planning Director</t>
  </si>
  <si>
    <t>E183</t>
  </si>
  <si>
    <t>Operations Cost Manager</t>
  </si>
  <si>
    <t>E184</t>
  </si>
  <si>
    <t>Shruti</t>
  </si>
  <si>
    <t>Performance Marketing Executive</t>
  </si>
  <si>
    <t>E185</t>
  </si>
  <si>
    <t>Regional Sales Head</t>
  </si>
  <si>
    <t>E186</t>
  </si>
  <si>
    <t>Minal</t>
  </si>
  <si>
    <t>HR Rewards Manager</t>
  </si>
  <si>
    <t>E187</t>
  </si>
  <si>
    <t>Finance Automation Lead</t>
  </si>
  <si>
    <t>E188</t>
  </si>
  <si>
    <t>Kajal</t>
  </si>
  <si>
    <t>Marketing Operations Intern</t>
  </si>
  <si>
    <t>E189</t>
  </si>
  <si>
    <t>Ram</t>
  </si>
  <si>
    <t>Manufacturing Strategy Head</t>
  </si>
  <si>
    <t>E190</t>
  </si>
  <si>
    <t>Namita</t>
  </si>
  <si>
    <t>HR Digital Transformation Lead</t>
  </si>
  <si>
    <t>E191</t>
  </si>
  <si>
    <t>Vikash</t>
  </si>
  <si>
    <t>Associate DevOps Engineer</t>
  </si>
  <si>
    <t>E192</t>
  </si>
  <si>
    <t>Pinky</t>
  </si>
  <si>
    <t>Corporate Treasury Head</t>
  </si>
  <si>
    <t>E193</t>
  </si>
  <si>
    <t>Shivam</t>
  </si>
  <si>
    <t>Sales Forecasting Manager</t>
  </si>
  <si>
    <t>E194</t>
  </si>
  <si>
    <t>Renu</t>
  </si>
  <si>
    <t>Marketing Operations Manager</t>
  </si>
  <si>
    <t>E195</t>
  </si>
  <si>
    <t>Murali</t>
  </si>
  <si>
    <t>Plant Operations Head</t>
  </si>
  <si>
    <t>E196</t>
  </si>
  <si>
    <t>HR Policy Analyst</t>
  </si>
  <si>
    <t>E197</t>
  </si>
  <si>
    <t>Management Reporting Analyst</t>
  </si>
  <si>
    <t>E198</t>
  </si>
  <si>
    <t>Ishita</t>
  </si>
  <si>
    <t>Sales Trainee</t>
  </si>
  <si>
    <t>E199</t>
  </si>
  <si>
    <t>Srinivas</t>
  </si>
  <si>
    <t>IT Governance Manager</t>
  </si>
  <si>
    <t>E200</t>
  </si>
  <si>
    <t>Aarohi</t>
  </si>
  <si>
    <t>Regional Campaign Manager</t>
  </si>
  <si>
    <t>E201</t>
  </si>
  <si>
    <t>Rohini</t>
  </si>
  <si>
    <t>HR Onboarding Executive</t>
  </si>
  <si>
    <t>E202</t>
  </si>
  <si>
    <t>Keshav</t>
  </si>
  <si>
    <t>Site Reliability Engineer</t>
  </si>
  <si>
    <t>E203</t>
  </si>
  <si>
    <t>Mohini</t>
  </si>
  <si>
    <t>Finance Operations Head</t>
  </si>
  <si>
    <t>E204</t>
  </si>
  <si>
    <t>Pratik</t>
  </si>
  <si>
    <t>Inside Sales Representative</t>
  </si>
  <si>
    <t>E205</t>
  </si>
  <si>
    <t>Sarita</t>
  </si>
  <si>
    <t>Customer Marketing Manager</t>
  </si>
  <si>
    <t>E206</t>
  </si>
  <si>
    <t>Operations Excellence Director</t>
  </si>
  <si>
    <t>E207</t>
  </si>
  <si>
    <t>Abhinav</t>
  </si>
  <si>
    <t>Data Platform Engineer</t>
  </si>
  <si>
    <t>E208</t>
  </si>
  <si>
    <t>Lavanya</t>
  </si>
  <si>
    <t>HR Compliance Executive</t>
  </si>
  <si>
    <t>E209</t>
  </si>
  <si>
    <t>Rajat</t>
  </si>
  <si>
    <t>Derivatives Analyst</t>
  </si>
  <si>
    <t>E210</t>
  </si>
  <si>
    <t>Nethra</t>
  </si>
  <si>
    <t>Customer Success Manager</t>
  </si>
  <si>
    <t>E211</t>
  </si>
  <si>
    <t>Sandeep</t>
  </si>
  <si>
    <t>Brand Strategy Director</t>
  </si>
  <si>
    <t>E212</t>
  </si>
  <si>
    <t>HR Engagement Executive</t>
  </si>
  <si>
    <t>E213</t>
  </si>
  <si>
    <t>Vamsi</t>
  </si>
  <si>
    <t>Associate QA Engineer</t>
  </si>
  <si>
    <t>E214</t>
  </si>
  <si>
    <t>Reema</t>
  </si>
  <si>
    <t>Consolidation Manager</t>
  </si>
  <si>
    <t>E215</t>
  </si>
  <si>
    <t>Akhilesh</t>
  </si>
  <si>
    <t>Production Scheduling Manager</t>
  </si>
  <si>
    <t>E216</t>
  </si>
  <si>
    <t>Ankitha</t>
  </si>
  <si>
    <t>Marketing Insights Analyst</t>
  </si>
  <si>
    <t>E217</t>
  </si>
  <si>
    <t>IT Infrastructure Head</t>
  </si>
  <si>
    <t>E218</t>
  </si>
  <si>
    <t>Savita</t>
  </si>
  <si>
    <t>HR Workforce Planning Analyst</t>
  </si>
  <si>
    <t>E219</t>
  </si>
  <si>
    <t>Prashant</t>
  </si>
  <si>
    <t>Sales Data Analyst</t>
  </si>
  <si>
    <t>E220</t>
  </si>
  <si>
    <t>Chief Finance Officer</t>
  </si>
  <si>
    <t>E221</t>
  </si>
  <si>
    <t>Associate Business Analyst</t>
  </si>
  <si>
    <t>E222</t>
  </si>
  <si>
    <t>Operations Risk Manager</t>
  </si>
  <si>
    <t>E223</t>
  </si>
  <si>
    <t>Nakul</t>
  </si>
  <si>
    <t>Digital Growth Manager</t>
  </si>
  <si>
    <t>E224</t>
  </si>
  <si>
    <t>Indira</t>
  </si>
  <si>
    <t>HR Strategy Director</t>
  </si>
  <si>
    <t>E225</t>
  </si>
  <si>
    <t>Trade Finance Analyst</t>
  </si>
  <si>
    <t>E226</t>
  </si>
  <si>
    <t>Rachana</t>
  </si>
  <si>
    <t>Lead Qualification Executive</t>
  </si>
  <si>
    <t>E227</t>
  </si>
  <si>
    <t>Shiv</t>
  </si>
  <si>
    <t>Technology Risk Manager</t>
  </si>
  <si>
    <t>E228</t>
  </si>
  <si>
    <t>Anupama</t>
  </si>
  <si>
    <t>Marketing PMO Manager</t>
  </si>
  <si>
    <t>E229</t>
  </si>
  <si>
    <t>Operations Compliance Head</t>
  </si>
  <si>
    <t>E230</t>
  </si>
  <si>
    <t>HR Talent Analytics Lead</t>
  </si>
  <si>
    <t>E231</t>
  </si>
  <si>
    <t>Associate Software Tester</t>
  </si>
  <si>
    <t>E232</t>
  </si>
  <si>
    <t>Kavita</t>
  </si>
  <si>
    <t>Indirect Tax Manager</t>
  </si>
  <si>
    <t>E233</t>
  </si>
  <si>
    <t>Raman</t>
  </si>
  <si>
    <t>Sales Compensation Analyst</t>
  </si>
  <si>
    <t>E234</t>
  </si>
  <si>
    <t>Content Marketing Analyst</t>
  </si>
  <si>
    <t>E235</t>
  </si>
  <si>
    <t>Mahendra</t>
  </si>
  <si>
    <t>Chief Supply Chain Officer</t>
  </si>
  <si>
    <t>E236</t>
  </si>
  <si>
    <t>HR Change Management Lead</t>
  </si>
  <si>
    <t>E237</t>
  </si>
  <si>
    <t>Platform Support Engineer</t>
  </si>
  <si>
    <t>E238</t>
  </si>
  <si>
    <t>Neelima</t>
  </si>
  <si>
    <t>Financial Governance Head</t>
  </si>
  <si>
    <t>E239</t>
  </si>
  <si>
    <t>Sales Operations Trainee</t>
  </si>
  <si>
    <t>E240</t>
  </si>
  <si>
    <t>Marketing Transformation Lead</t>
  </si>
  <si>
    <t>E241</t>
  </si>
  <si>
    <t>Gautham</t>
  </si>
  <si>
    <t>IT Portfolio Director</t>
  </si>
  <si>
    <t>E242</t>
  </si>
  <si>
    <t>HR Employer Branding Specialist</t>
  </si>
  <si>
    <t>E243</t>
  </si>
  <si>
    <t>Vikas</t>
  </si>
  <si>
    <t>Financial Modeling Lead</t>
  </si>
  <si>
    <t>E244</t>
  </si>
  <si>
    <t>Nidhi</t>
  </si>
  <si>
    <t>Sales Enablement Analyst</t>
  </si>
  <si>
    <t>E245</t>
  </si>
  <si>
    <t>Operational Analytics Head</t>
  </si>
  <si>
    <t>E246</t>
  </si>
  <si>
    <t>Marketing Analytics Manager</t>
  </si>
  <si>
    <t>E247</t>
  </si>
  <si>
    <t>Associate Data Scientist</t>
  </si>
  <si>
    <t>E248</t>
  </si>
  <si>
    <t>Financial Compliance Director</t>
  </si>
  <si>
    <t>E249</t>
  </si>
  <si>
    <t>Sales Strategy Consultant</t>
  </si>
  <si>
    <t>E250</t>
  </si>
  <si>
    <t>HR Service Delivery Manager</t>
  </si>
  <si>
    <t>E251</t>
  </si>
  <si>
    <t>Chief Operating Officer</t>
  </si>
  <si>
    <t>E252</t>
  </si>
  <si>
    <t>Marketing Graduate Trainee</t>
  </si>
  <si>
    <t>E253</t>
  </si>
  <si>
    <t>Technology Operations Manager</t>
  </si>
  <si>
    <t>E254</t>
  </si>
  <si>
    <t>Meenakshi</t>
  </si>
  <si>
    <t>Financial Systems Lead</t>
  </si>
  <si>
    <t>E255</t>
  </si>
  <si>
    <t>Revenue Operations Analyst</t>
  </si>
  <si>
    <t>E256</t>
  </si>
  <si>
    <t>Sujata</t>
  </si>
  <si>
    <t>HR Audit Head</t>
  </si>
  <si>
    <t>E257</t>
  </si>
  <si>
    <t>Praveen</t>
  </si>
  <si>
    <t>Associate Automation Engineer</t>
  </si>
  <si>
    <t>E258</t>
  </si>
  <si>
    <t>Alka</t>
  </si>
  <si>
    <t>Marketing Governance Manager</t>
  </si>
  <si>
    <t>E259</t>
  </si>
  <si>
    <t>Global Operations Head</t>
  </si>
  <si>
    <t>E260</t>
  </si>
  <si>
    <t>Finance Process Excellence Lead</t>
  </si>
  <si>
    <t>E261</t>
  </si>
  <si>
    <t>Aman</t>
  </si>
  <si>
    <t>Sales Development Representative</t>
  </si>
  <si>
    <t>E262</t>
  </si>
  <si>
    <t>Lata</t>
  </si>
  <si>
    <t>HR Organizational Development Lead</t>
  </si>
  <si>
    <t>E263</t>
  </si>
  <si>
    <t>Enterprise Technology Director</t>
  </si>
  <si>
    <t>E264</t>
  </si>
  <si>
    <t>Naina</t>
  </si>
  <si>
    <t>Marketing Program Coordinator</t>
  </si>
  <si>
    <t>E265</t>
  </si>
  <si>
    <t>Industrial Operations Director</t>
  </si>
  <si>
    <t>E266</t>
  </si>
  <si>
    <t>Finance Digital Transformation Lead</t>
  </si>
  <si>
    <t>E267</t>
  </si>
  <si>
    <t>Aditya</t>
  </si>
  <si>
    <t>Product Support Lead</t>
  </si>
  <si>
    <t>E268</t>
  </si>
  <si>
    <t>HR Governance Director</t>
  </si>
  <si>
    <t>E269</t>
  </si>
  <si>
    <t>Vinay</t>
  </si>
  <si>
    <t>Account Planning Analyst</t>
  </si>
  <si>
    <t>E270</t>
  </si>
  <si>
    <t>Marketing Excellence Manager</t>
  </si>
  <si>
    <t>E271</t>
  </si>
  <si>
    <t>Murugan</t>
  </si>
  <si>
    <t>Manufacturing Systems Head</t>
  </si>
  <si>
    <t>E272</t>
  </si>
  <si>
    <t>HR Digital Content Executive</t>
  </si>
  <si>
    <t>E273</t>
  </si>
  <si>
    <t>Finance Shared Services Manager</t>
  </si>
  <si>
    <t>E274</t>
  </si>
  <si>
    <t>Ira</t>
  </si>
  <si>
    <t>Sales Process Improvement Lead</t>
  </si>
  <si>
    <t>E275</t>
  </si>
  <si>
    <t>Raghavan</t>
  </si>
  <si>
    <t>IT Quality Assurance Director</t>
  </si>
  <si>
    <t>E276</t>
  </si>
  <si>
    <t>Shilpa</t>
  </si>
  <si>
    <t>Marketing Risk Manager</t>
  </si>
  <si>
    <t>E277</t>
  </si>
  <si>
    <t>Operations Analytics Analyst</t>
  </si>
  <si>
    <t>E278</t>
  </si>
  <si>
    <t>Shraddha</t>
  </si>
  <si>
    <t>HR Reporting Executive</t>
  </si>
  <si>
    <t>E279</t>
  </si>
  <si>
    <t>Akshay</t>
  </si>
  <si>
    <t>Commercial Sales Manager</t>
  </si>
  <si>
    <t>E280</t>
  </si>
  <si>
    <t>Kusum</t>
  </si>
  <si>
    <t>Finance Risk &amp; Controls Director</t>
  </si>
  <si>
    <t>E281</t>
  </si>
  <si>
    <t>IT Vendor Management Head</t>
  </si>
  <si>
    <t>E282</t>
  </si>
  <si>
    <t>Campaign Planning Analyst</t>
  </si>
  <si>
    <t>E283</t>
  </si>
  <si>
    <t>Chief Process Officer</t>
  </si>
  <si>
    <t>E284</t>
  </si>
  <si>
    <t>Pankhuri</t>
  </si>
  <si>
    <t>HR Experience Design Lead</t>
  </si>
  <si>
    <t>E285</t>
  </si>
  <si>
    <t>Financial Data Science Lead</t>
  </si>
  <si>
    <t>E286</t>
  </si>
  <si>
    <t>Megha</t>
  </si>
  <si>
    <t>Sales Graduate Trainee</t>
  </si>
  <si>
    <t>E287</t>
  </si>
  <si>
    <t>IT Transformation Program Director</t>
  </si>
  <si>
    <t>E288</t>
  </si>
  <si>
    <t>Marketing Operations Governance Lead</t>
  </si>
  <si>
    <t>E289</t>
  </si>
  <si>
    <t>Operations Digitization Lead</t>
  </si>
  <si>
    <t>E290</t>
  </si>
  <si>
    <t>HR Mobility Executive</t>
  </si>
  <si>
    <t>E291</t>
  </si>
  <si>
    <t>Enterprise Finance Director</t>
  </si>
  <si>
    <t>E292</t>
  </si>
  <si>
    <t>Sales Excellence Manager</t>
  </si>
  <si>
    <t>E293</t>
  </si>
  <si>
    <t>Sathish</t>
  </si>
  <si>
    <t>IT Service Delivery Head</t>
  </si>
  <si>
    <t>E294</t>
  </si>
  <si>
    <t>Anuradha</t>
  </si>
  <si>
    <t>Marketing Attribution Analyst</t>
  </si>
  <si>
    <t>E295</t>
  </si>
  <si>
    <t>Global Manufacturing Director</t>
  </si>
  <si>
    <t>E296</t>
  </si>
  <si>
    <t>HR Strategic Planning Manager</t>
  </si>
  <si>
    <t>E297</t>
  </si>
  <si>
    <t>Varsha</t>
  </si>
  <si>
    <t>Finance Graduate Trainee</t>
  </si>
  <si>
    <t>E298</t>
  </si>
  <si>
    <t>Abhijit</t>
  </si>
  <si>
    <t>Sales Transformation Lead</t>
  </si>
  <si>
    <t>E299</t>
  </si>
  <si>
    <t>Narayan</t>
  </si>
  <si>
    <t>Chief Information Officer</t>
  </si>
  <si>
    <t>E300</t>
  </si>
  <si>
    <t>Suman</t>
  </si>
  <si>
    <t>Global HR Director</t>
  </si>
  <si>
    <t>Row Labels</t>
  </si>
  <si>
    <t>Grand Total</t>
  </si>
  <si>
    <t>Count of EmployeeID</t>
  </si>
  <si>
    <t xml:space="preserve"> </t>
  </si>
  <si>
    <t>Total Employees trend over JoiningYear Which year had the highest recruitment?</t>
  </si>
  <si>
    <t>Total Employees by Department. Highlight the department with the max headcount.</t>
  </si>
  <si>
    <t>kpi</t>
  </si>
  <si>
    <t>headcount</t>
  </si>
  <si>
    <t>Count of Attrition</t>
  </si>
  <si>
    <t>attrition %</t>
  </si>
  <si>
    <t>yes</t>
  </si>
  <si>
    <t>Average Salary</t>
  </si>
  <si>
    <t>Female % / Male %</t>
  </si>
  <si>
    <t>Gender %</t>
  </si>
  <si>
    <t>Avg of PerformRating</t>
  </si>
  <si>
    <t>KPI1</t>
  </si>
  <si>
    <t>Total Employees by Attrition Status</t>
  </si>
  <si>
    <t>KPI2</t>
  </si>
  <si>
    <t>yearly attrition rate</t>
  </si>
  <si>
    <t>Attrition Rate by Department</t>
  </si>
  <si>
    <t>Which dept is riskiest?</t>
  </si>
  <si>
    <t>Attrition Rate by WorkLocation</t>
  </si>
  <si>
    <t xml:space="preserve"> with conditional formatting (color &gt;10% red &lt;5% green)</t>
  </si>
  <si>
    <t>Attrition Rate by Gender</t>
  </si>
  <si>
    <t>pie or donut chart**</t>
  </si>
  <si>
    <t>showing total employees vs. attrition rate per department.</t>
  </si>
  <si>
    <t>Attrition%</t>
  </si>
  <si>
    <t>Column Labels</t>
  </si>
  <si>
    <t>Average Salary by Department</t>
  </si>
  <si>
    <t>KPI3</t>
  </si>
  <si>
    <t>Average of Salary</t>
  </si>
  <si>
    <t>bar chart</t>
  </si>
  <si>
    <t>highlight dept. below the company avg</t>
  </si>
  <si>
    <t>Average Salary by Gender across Departments</t>
  </si>
  <si>
    <t>clustered column chart</t>
  </si>
  <si>
    <t>Average Salary vs. Performance Rating</t>
  </si>
  <si>
    <t>scatter chart</t>
  </si>
  <si>
    <t>Average Salary by WorkLocation, Department, or JoiningYear</t>
  </si>
  <si>
    <t>KPI4</t>
  </si>
  <si>
    <t>Average Performance Rating by Department</t>
  </si>
  <si>
    <t>Average of PerformanceRating</t>
  </si>
  <si>
    <t>bar chart; mark top 3 and bottom 3 performing departments.</t>
  </si>
  <si>
    <t xml:space="preserve"> performance ratings across WorkLocation and Department</t>
  </si>
  <si>
    <t>Conditional Formatting → Color Scale</t>
  </si>
  <si>
    <t>performance rating trend by JoiningYear</t>
  </si>
  <si>
    <t>Performance Rating by Gender</t>
  </si>
  <si>
    <t>Count of Gender</t>
  </si>
  <si>
    <t>KPI5</t>
  </si>
  <si>
    <t>Gender Distribution by Department</t>
  </si>
  <si>
    <t>100% stacked bar chart</t>
  </si>
  <si>
    <t>Gender Distribution across WorkLocations</t>
  </si>
  <si>
    <t>*clustered column chart</t>
  </si>
  <si>
    <t>Gender Ratio trend over JoiningYear</t>
  </si>
  <si>
    <t>Column / Line Chart</t>
  </si>
  <si>
    <r>
      <t xml:space="preserve">Choose </t>
    </r>
    <r>
      <rPr>
        <b/>
        <sz val="11"/>
        <color theme="1"/>
        <rFont val="Aptos Narrow"/>
        <family val="2"/>
        <scheme val="minor"/>
      </rPr>
      <t>100% Stacked Column</t>
    </r>
  </si>
  <si>
    <t>overall gender ratio and connect slicers for Department &amp; WorkLocation</t>
  </si>
  <si>
    <t>donut chart</t>
  </si>
  <si>
    <t>Departments with &lt;30% Female or Male</t>
  </si>
  <si>
    <t>conditional format or color-coded chart.</t>
  </si>
  <si>
    <t>* WorkLocation</t>
  </si>
  <si>
    <t>* Gender</t>
  </si>
  <si>
    <t>* Attrition</t>
  </si>
  <si>
    <t>* JoiningYear</t>
  </si>
  <si>
    <t>Slicers  :</t>
  </si>
  <si>
    <t>Location wise employees count</t>
  </si>
  <si>
    <t>Sum of Salary</t>
  </si>
  <si>
    <t>Salary by Departments</t>
  </si>
  <si>
    <t>Avg of Perform.Rating</t>
  </si>
  <si>
    <t>1996-2000</t>
  </si>
  <si>
    <t>2001-2005</t>
  </si>
  <si>
    <t>2006-2010</t>
  </si>
  <si>
    <t>2011-2015</t>
  </si>
  <si>
    <t>2016-2020</t>
  </si>
  <si>
    <t>2021-2025</t>
  </si>
  <si>
    <t>Total employees by gender and dept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</si>
</sst>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quot;₹&quot;\ * #,##0_ ;_ &quot;₹&quot;\ * \-#,##0_ ;_ &quot;₹&quot;\ * &quot;-&quot;??_ ;_ @_ "/>
    <numFmt numFmtId="165" formatCode="0.0"/>
  </numFmts>
  <fonts count="4" x14ac:knownFonts="1">
    <font>
      <sz val="11"/>
      <color theme="1"/>
      <name val="Aptos Narrow"/>
      <family val="2"/>
      <scheme val="minor"/>
    </font>
    <font>
      <b/>
      <sz val="11"/>
      <color rgb="FFFF0000"/>
      <name val="Aptos Narrow"/>
      <family val="2"/>
      <scheme val="minor"/>
    </font>
    <font>
      <b/>
      <sz val="11"/>
      <color theme="1"/>
      <name val="Aptos Narrow"/>
      <family val="2"/>
      <scheme val="minor"/>
    </font>
    <font>
      <sz val="11"/>
      <color theme="0"/>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8" tint="-0.499984740745262"/>
        <bgColor indexed="64"/>
      </patternFill>
    </fill>
    <fill>
      <patternFill patternType="solid">
        <fgColor theme="6" tint="0.39997558519241921"/>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31">
    <xf numFmtId="0" fontId="0" fillId="0" borderId="0" xfId="0"/>
    <xf numFmtId="164" fontId="0" fillId="0" borderId="0" xfId="0" applyNumberFormat="1"/>
    <xf numFmtId="0" fontId="0" fillId="0" borderId="0" xfId="0" pivotButton="1"/>
    <xf numFmtId="0" fontId="0" fillId="0" borderId="0" xfId="0" applyAlignment="1">
      <alignment horizontal="left"/>
    </xf>
    <xf numFmtId="9" fontId="0" fillId="0" borderId="0" xfId="0" applyNumberFormat="1"/>
    <xf numFmtId="2" fontId="0" fillId="0" borderId="0" xfId="0" applyNumberFormat="1"/>
    <xf numFmtId="0" fontId="1" fillId="2" borderId="0" xfId="0" applyFont="1" applyFill="1"/>
    <xf numFmtId="0" fontId="1" fillId="3" borderId="0" xfId="0" applyFont="1" applyFill="1"/>
    <xf numFmtId="0" fontId="0" fillId="2" borderId="0" xfId="0" applyFill="1"/>
    <xf numFmtId="0" fontId="1" fillId="4" borderId="0" xfId="0" applyFont="1" applyFill="1"/>
    <xf numFmtId="0" fontId="1" fillId="5" borderId="0" xfId="0" applyFont="1" applyFill="1"/>
    <xf numFmtId="165" fontId="0" fillId="0" borderId="0" xfId="0" applyNumberFormat="1"/>
    <xf numFmtId="0" fontId="0" fillId="5" borderId="0" xfId="0" applyFill="1"/>
    <xf numFmtId="0" fontId="1" fillId="6" borderId="0" xfId="0" applyFont="1" applyFill="1"/>
    <xf numFmtId="0" fontId="0" fillId="2" borderId="0" xfId="0" applyFill="1" applyAlignment="1">
      <alignment horizontal="center" wrapText="1"/>
    </xf>
    <xf numFmtId="0" fontId="2" fillId="0" borderId="0" xfId="0" applyFont="1"/>
    <xf numFmtId="0" fontId="3" fillId="0" borderId="0" xfId="0" applyFont="1"/>
    <xf numFmtId="9" fontId="3" fillId="0" borderId="0" xfId="0" applyNumberFormat="1" applyFont="1"/>
    <xf numFmtId="164" fontId="3" fillId="0" borderId="0" xfId="0" applyNumberFormat="1" applyFont="1"/>
    <xf numFmtId="2" fontId="3" fillId="0" borderId="0" xfId="0" applyNumberFormat="1" applyFont="1"/>
    <xf numFmtId="0" fontId="0" fillId="0" borderId="0" xfId="0" applyAlignment="1">
      <alignment horizontal="center" wrapText="1"/>
    </xf>
    <xf numFmtId="0" fontId="0" fillId="4" borderId="0" xfId="0" applyFill="1" applyAlignment="1">
      <alignment horizontal="center"/>
    </xf>
    <xf numFmtId="0" fontId="0" fillId="0" borderId="0" xfId="0" applyAlignment="1">
      <alignment horizontal="center" vertical="center" wrapText="1"/>
    </xf>
    <xf numFmtId="0" fontId="0" fillId="2" borderId="0" xfId="0" applyFill="1" applyAlignment="1">
      <alignment horizontal="center" wrapText="1"/>
    </xf>
    <xf numFmtId="0" fontId="0" fillId="6" borderId="0" xfId="0" applyFill="1" applyAlignment="1">
      <alignment horizontal="center" wrapText="1"/>
    </xf>
    <xf numFmtId="0" fontId="0" fillId="0" borderId="0" xfId="0" applyAlignment="1">
      <alignment horizontal="center" wrapText="1"/>
    </xf>
    <xf numFmtId="0" fontId="0" fillId="5" borderId="0" xfId="0" applyFill="1" applyAlignment="1">
      <alignment horizontal="center"/>
    </xf>
    <xf numFmtId="0" fontId="0" fillId="3" borderId="0" xfId="0" applyFill="1" applyAlignment="1">
      <alignment horizontal="center" wrapText="1"/>
    </xf>
    <xf numFmtId="0" fontId="0" fillId="3" borderId="0" xfId="0" applyFill="1" applyAlignment="1">
      <alignment horizontal="center"/>
    </xf>
    <xf numFmtId="0" fontId="0" fillId="6" borderId="0" xfId="0" applyFill="1" applyAlignment="1">
      <alignment horizontal="center"/>
    </xf>
    <xf numFmtId="0" fontId="0" fillId="3" borderId="0" xfId="0" applyFill="1" applyAlignment="1">
      <alignment horizontal="center" vertical="center"/>
    </xf>
  </cellXfs>
  <cellStyles count="1">
    <cellStyle name="Normal" xfId="0" builtinId="0"/>
  </cellStyles>
  <dxfs count="4">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164" formatCode="_ &quot;₹&quot;\ * #,##0_ ;_ &quot;₹&quot;\ * \-#,##0_ ;_ &quot;₹&quot;\ * &quot;-&quot;??_ ;_ @_ "/>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[HR_Dashboard.xlsx]Pivot!KPI_empcount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c:f>
              <c:strCache>
                <c:ptCount val="1"/>
                <c:pt idx="0">
                  <c:v>Total</c:v>
                </c:pt>
              </c:strCache>
            </c:strRef>
          </c:cat>
          <c:val>
            <c:numRef>
              <c:f>Pivot!$B$4</c:f>
              <c:numCache>
                <c:formatCode>General</c:formatCode>
                <c:ptCount val="1"/>
                <c:pt idx="0">
                  <c:v>300</c:v>
                </c:pt>
              </c:numCache>
            </c:numRef>
          </c:val>
          <c:extLst>
            <c:ext xmlns:c16="http://schemas.microsoft.com/office/drawing/2014/chart" uri="{C3380CC4-5D6E-409C-BE32-E72D297353CC}">
              <c16:uniqueId val="{00000000-3EF1-4459-B913-59441E1F58CA}"/>
            </c:ext>
          </c:extLst>
        </c:ser>
        <c:dLbls>
          <c:dLblPos val="outEnd"/>
          <c:showLegendKey val="0"/>
          <c:showVal val="1"/>
          <c:showCatName val="0"/>
          <c:showSerName val="0"/>
          <c:showPercent val="0"/>
          <c:showBubbleSize val="0"/>
        </c:dLbls>
        <c:gapWidth val="219"/>
        <c:overlap val="-27"/>
        <c:axId val="1902862176"/>
        <c:axId val="1902863136"/>
      </c:barChart>
      <c:catAx>
        <c:axId val="190286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863136"/>
        <c:crosses val="autoZero"/>
        <c:auto val="1"/>
        <c:lblAlgn val="ctr"/>
        <c:lblOffset val="100"/>
        <c:noMultiLvlLbl val="0"/>
      </c:catAx>
      <c:valAx>
        <c:axId val="1902863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86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[HR_Dashboard.xlsx]Pivot!KPI_att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Percentage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rgbClr val="FF0000"/>
          </a:solidFill>
          <a:ln>
            <a:noFill/>
          </a:ln>
          <a:effectLst/>
        </c:spPr>
      </c:pivotFmt>
    </c:pivotFmts>
    <c:plotArea>
      <c:layout/>
      <c:barChart>
        <c:barDir val="col"/>
        <c:grouping val="clustered"/>
        <c:varyColors val="0"/>
        <c:ser>
          <c:idx val="0"/>
          <c:order val="0"/>
          <c:tx>
            <c:strRef>
              <c:f>Pivot!$C$6</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F9F5-425E-ABB5-375B19E3A878}"/>
              </c:ext>
            </c:extLst>
          </c:dPt>
          <c:dPt>
            <c:idx val="1"/>
            <c:invertIfNegative val="0"/>
            <c:bubble3D val="0"/>
            <c:spPr>
              <a:solidFill>
                <a:srgbClr val="FF0000"/>
              </a:solidFill>
              <a:ln>
                <a:noFill/>
              </a:ln>
              <a:effectLst/>
            </c:spPr>
            <c:extLst>
              <c:ext xmlns:c16="http://schemas.microsoft.com/office/drawing/2014/chart" uri="{C3380CC4-5D6E-409C-BE32-E72D297353CC}">
                <c16:uniqueId val="{00000002-F9F5-425E-ABB5-375B19E3A8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Pivot!$B$7:$B$8</c:f>
              <c:strCache>
                <c:ptCount val="2"/>
                <c:pt idx="0">
                  <c:v>No</c:v>
                </c:pt>
                <c:pt idx="1">
                  <c:v>Yes</c:v>
                </c:pt>
              </c:strCache>
            </c:strRef>
          </c:cat>
          <c:val>
            <c:numRef>
              <c:f>Pivot!$C$7:$C$8</c:f>
              <c:numCache>
                <c:formatCode>0%</c:formatCode>
                <c:ptCount val="2"/>
                <c:pt idx="0">
                  <c:v>0.76666666666666672</c:v>
                </c:pt>
                <c:pt idx="1">
                  <c:v>0.23333333333333334</c:v>
                </c:pt>
              </c:numCache>
            </c:numRef>
          </c:val>
          <c:extLst>
            <c:ext xmlns:c16="http://schemas.microsoft.com/office/drawing/2014/chart" uri="{C3380CC4-5D6E-409C-BE32-E72D297353CC}">
              <c16:uniqueId val="{00000000-F9F5-425E-ABB5-375B19E3A878}"/>
            </c:ext>
          </c:extLst>
        </c:ser>
        <c:dLbls>
          <c:dLblPos val="outEnd"/>
          <c:showLegendKey val="0"/>
          <c:showVal val="1"/>
          <c:showCatName val="0"/>
          <c:showSerName val="0"/>
          <c:showPercent val="0"/>
          <c:showBubbleSize val="0"/>
        </c:dLbls>
        <c:gapWidth val="219"/>
        <c:overlap val="-27"/>
        <c:axId val="2042272672"/>
        <c:axId val="2042270272"/>
      </c:barChart>
      <c:catAx>
        <c:axId val="204227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270272"/>
        <c:crosses val="autoZero"/>
        <c:auto val="1"/>
        <c:lblAlgn val="ctr"/>
        <c:lblOffset val="100"/>
        <c:noMultiLvlLbl val="0"/>
      </c:catAx>
      <c:valAx>
        <c:axId val="20422702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27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[HR_Dashboard.xlsx]Pivot!KPI_avgsal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for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Pivot!$B$11</c:f>
              <c:strCache>
                <c:ptCount val="1"/>
                <c:pt idx="0">
                  <c:v>Total</c:v>
                </c:pt>
              </c:strCache>
            </c:strRef>
          </c:cat>
          <c:val>
            <c:numRef>
              <c:f>Pivot!$B$11</c:f>
              <c:numCache>
                <c:formatCode>_ "₹"\ * #,##0_ ;_ "₹"\ * \-#,##0_ ;_ "₹"\ * "-"??_ ;_ @_ </c:formatCode>
                <c:ptCount val="1"/>
                <c:pt idx="0">
                  <c:v>82763.333333333328</c:v>
                </c:pt>
              </c:numCache>
            </c:numRef>
          </c:val>
          <c:extLst>
            <c:ext xmlns:c16="http://schemas.microsoft.com/office/drawing/2014/chart" uri="{C3380CC4-5D6E-409C-BE32-E72D297353CC}">
              <c16:uniqueId val="{00000000-8F4D-4F31-B24C-B95C3A095A89}"/>
            </c:ext>
          </c:extLst>
        </c:ser>
        <c:dLbls>
          <c:dLblPos val="outEnd"/>
          <c:showLegendKey val="0"/>
          <c:showVal val="1"/>
          <c:showCatName val="0"/>
          <c:showSerName val="0"/>
          <c:showPercent val="0"/>
          <c:showBubbleSize val="0"/>
        </c:dLbls>
        <c:gapWidth val="219"/>
        <c:overlap val="-27"/>
        <c:axId val="1902660752"/>
        <c:axId val="2042272192"/>
      </c:barChart>
      <c:catAx>
        <c:axId val="190266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272192"/>
        <c:crosses val="autoZero"/>
        <c:auto val="1"/>
        <c:lblAlgn val="ctr"/>
        <c:lblOffset val="100"/>
        <c:noMultiLvlLbl val="0"/>
      </c:catAx>
      <c:valAx>
        <c:axId val="2042272192"/>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66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[HR_Dashboard.xlsx]Pivot!KPI_perform</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Performance of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Pivot!$B$14</c:f>
              <c:strCache>
                <c:ptCount val="1"/>
                <c:pt idx="0">
                  <c:v>Total</c:v>
                </c:pt>
              </c:strCache>
            </c:strRef>
          </c:cat>
          <c:val>
            <c:numRef>
              <c:f>Pivot!$B$14</c:f>
              <c:numCache>
                <c:formatCode>0.00</c:formatCode>
                <c:ptCount val="1"/>
                <c:pt idx="0">
                  <c:v>3.9866666666666668</c:v>
                </c:pt>
              </c:numCache>
            </c:numRef>
          </c:val>
          <c:extLst>
            <c:ext xmlns:c16="http://schemas.microsoft.com/office/drawing/2014/chart" uri="{C3380CC4-5D6E-409C-BE32-E72D297353CC}">
              <c16:uniqueId val="{00000000-7490-4F93-999C-8E20B3813307}"/>
            </c:ext>
          </c:extLst>
        </c:ser>
        <c:dLbls>
          <c:dLblPos val="outEnd"/>
          <c:showLegendKey val="0"/>
          <c:showVal val="1"/>
          <c:showCatName val="0"/>
          <c:showSerName val="0"/>
          <c:showPercent val="0"/>
          <c:showBubbleSize val="0"/>
        </c:dLbls>
        <c:gapWidth val="219"/>
        <c:overlap val="-27"/>
        <c:axId val="2085975536"/>
        <c:axId val="2085970736"/>
      </c:barChart>
      <c:catAx>
        <c:axId val="208597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970736"/>
        <c:crosses val="autoZero"/>
        <c:auto val="1"/>
        <c:lblAlgn val="ctr"/>
        <c:lblOffset val="100"/>
        <c:noMultiLvlLbl val="0"/>
      </c:catAx>
      <c:valAx>
        <c:axId val="20859707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97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[HR_Dashboard.xlsx]Pivot!KPI_div</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Male</a:t>
            </a:r>
            <a:r>
              <a:rPr lang="en-US" baseline="0"/>
              <a:t> &amp; Female Employees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pivotFmt>
      <c:pivotFmt>
        <c:idx val="4"/>
        <c:spPr>
          <a:solidFill>
            <a:schemeClr val="accent4">
              <a:lumMod val="60000"/>
              <a:lumOff val="40000"/>
            </a:schemeClr>
          </a:solidFill>
          <a:ln>
            <a:noFill/>
          </a:ln>
          <a:effectLst/>
        </c:spPr>
      </c:pivotFmt>
    </c:pivotFmts>
    <c:plotArea>
      <c:layout/>
      <c:barChart>
        <c:barDir val="col"/>
        <c:grouping val="clustered"/>
        <c:varyColors val="0"/>
        <c:ser>
          <c:idx val="0"/>
          <c:order val="0"/>
          <c:tx>
            <c:strRef>
              <c:f>Pivot!$C$17</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2F2C-40E5-9686-3B918B4113B4}"/>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2F2C-40E5-9686-3B918B4113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Pivot!$B$18:$B$20</c:f>
              <c:strCache>
                <c:ptCount val="2"/>
                <c:pt idx="0">
                  <c:v>Female</c:v>
                </c:pt>
                <c:pt idx="1">
                  <c:v>Male</c:v>
                </c:pt>
              </c:strCache>
            </c:strRef>
          </c:cat>
          <c:val>
            <c:numRef>
              <c:f>Pivot!$C$18:$C$20</c:f>
              <c:numCache>
                <c:formatCode>0%</c:formatCode>
                <c:ptCount val="2"/>
                <c:pt idx="0">
                  <c:v>0.5</c:v>
                </c:pt>
                <c:pt idx="1">
                  <c:v>0.5</c:v>
                </c:pt>
              </c:numCache>
            </c:numRef>
          </c:val>
          <c:extLst>
            <c:ext xmlns:c16="http://schemas.microsoft.com/office/drawing/2014/chart" uri="{C3380CC4-5D6E-409C-BE32-E72D297353CC}">
              <c16:uniqueId val="{00000000-2F2C-40E5-9686-3B918B4113B4}"/>
            </c:ext>
          </c:extLst>
        </c:ser>
        <c:dLbls>
          <c:dLblPos val="outEnd"/>
          <c:showLegendKey val="0"/>
          <c:showVal val="1"/>
          <c:showCatName val="0"/>
          <c:showSerName val="0"/>
          <c:showPercent val="0"/>
          <c:showBubbleSize val="0"/>
        </c:dLbls>
        <c:gapWidth val="219"/>
        <c:overlap val="-27"/>
        <c:axId val="2085972176"/>
        <c:axId val="2085972656"/>
      </c:barChart>
      <c:catAx>
        <c:axId val="208597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972656"/>
        <c:crosses val="autoZero"/>
        <c:auto val="1"/>
        <c:lblAlgn val="ctr"/>
        <c:lblOffset val="100"/>
        <c:noMultiLvlLbl val="0"/>
      </c:catAx>
      <c:valAx>
        <c:axId val="20859726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97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[HR_Dashboard.xlsx]Pivot!kpi1_1</c:name>
    <c:fmtId val="4"/>
  </c:pivotSource>
  <c:chart>
    <c:title>
      <c:tx>
        <c:rich>
          <a:bodyPr rot="0" spcFirstLastPara="1" vertOverflow="ellipsis" vert="horz" wrap="square" anchor="ctr" anchorCtr="1"/>
          <a:lstStyle/>
          <a:p>
            <a:pPr>
              <a:defRPr sz="1200" b="1" i="0" u="none" strike="noStrike" kern="1200" cap="all" spc="100" normalizeH="0" baseline="0">
                <a:solidFill>
                  <a:schemeClr val="tx1">
                    <a:lumMod val="75000"/>
                    <a:lumOff val="25000"/>
                  </a:schemeClr>
                </a:solidFill>
                <a:latin typeface="+mn-lt"/>
                <a:ea typeface="+mn-ea"/>
                <a:cs typeface="+mn-cs"/>
              </a:defRPr>
            </a:pPr>
            <a:r>
              <a:rPr lang="en-US" sz="1200">
                <a:solidFill>
                  <a:schemeClr val="tx1">
                    <a:lumMod val="75000"/>
                    <a:lumOff val="25000"/>
                  </a:schemeClr>
                </a:solidFill>
              </a:rPr>
              <a:t>Count of Employees by Department</a:t>
            </a:r>
          </a:p>
        </c:rich>
      </c:tx>
      <c:overlay val="0"/>
      <c:spPr>
        <a:noFill/>
        <a:ln>
          <a:noFill/>
        </a:ln>
        <a:effectLst/>
      </c:spPr>
      <c:txPr>
        <a:bodyPr rot="0" spcFirstLastPara="1" vertOverflow="ellipsis" vert="horz" wrap="square" anchor="ctr" anchorCtr="1"/>
        <a:lstStyle/>
        <a:p>
          <a:pPr>
            <a:defRPr sz="1200" b="1" i="0" u="none" strike="noStrike" kern="1200" cap="all" spc="100" normalizeH="0" baseline="0">
              <a:solidFill>
                <a:schemeClr val="tx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88000">
                <a:schemeClr val="accent1">
                  <a:lumMod val="45000"/>
                  <a:lumOff val="55000"/>
                </a:schemeClr>
              </a:gs>
              <a:gs pos="89000">
                <a:schemeClr val="accent1">
                  <a:lumMod val="45000"/>
                  <a:lumOff val="55000"/>
                </a:schemeClr>
              </a:gs>
              <a:gs pos="100000">
                <a:schemeClr val="accent4">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Pivot!$I$4</c:f>
              <c:strCache>
                <c:ptCount val="1"/>
                <c:pt idx="0">
                  <c:v>Total</c:v>
                </c:pt>
              </c:strCache>
            </c:strRef>
          </c:tx>
          <c:spPr>
            <a:gradFill>
              <a:gsLst>
                <a:gs pos="0">
                  <a:schemeClr val="accent1">
                    <a:lumMod val="5000"/>
                    <a:lumOff val="95000"/>
                  </a:schemeClr>
                </a:gs>
                <a:gs pos="88000">
                  <a:schemeClr val="accent1">
                    <a:lumMod val="45000"/>
                    <a:lumOff val="55000"/>
                  </a:schemeClr>
                </a:gs>
                <a:gs pos="89000">
                  <a:schemeClr val="accent1">
                    <a:lumMod val="45000"/>
                    <a:lumOff val="55000"/>
                  </a:schemeClr>
                </a:gs>
                <a:gs pos="100000">
                  <a:schemeClr val="accent4">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Pivot!$H$5:$H$11</c:f>
              <c:strCache>
                <c:ptCount val="6"/>
                <c:pt idx="0">
                  <c:v>Finance</c:v>
                </c:pt>
                <c:pt idx="1">
                  <c:v>HR</c:v>
                </c:pt>
                <c:pt idx="2">
                  <c:v>IT</c:v>
                </c:pt>
                <c:pt idx="3">
                  <c:v>Marketing</c:v>
                </c:pt>
                <c:pt idx="4">
                  <c:v>Operations</c:v>
                </c:pt>
                <c:pt idx="5">
                  <c:v>Sales</c:v>
                </c:pt>
              </c:strCache>
            </c:strRef>
          </c:cat>
          <c:val>
            <c:numRef>
              <c:f>Pivot!$I$5:$I$11</c:f>
              <c:numCache>
                <c:formatCode>General</c:formatCode>
                <c:ptCount val="6"/>
                <c:pt idx="0">
                  <c:v>51</c:v>
                </c:pt>
                <c:pt idx="1">
                  <c:v>51</c:v>
                </c:pt>
                <c:pt idx="2">
                  <c:v>60</c:v>
                </c:pt>
                <c:pt idx="3">
                  <c:v>46</c:v>
                </c:pt>
                <c:pt idx="4">
                  <c:v>43</c:v>
                </c:pt>
                <c:pt idx="5">
                  <c:v>49</c:v>
                </c:pt>
              </c:numCache>
            </c:numRef>
          </c:val>
          <c:extLst>
            <c:ext xmlns:c16="http://schemas.microsoft.com/office/drawing/2014/chart" uri="{C3380CC4-5D6E-409C-BE32-E72D297353CC}">
              <c16:uniqueId val="{00000000-8A48-4333-BA14-1C0C568D04CC}"/>
            </c:ext>
          </c:extLst>
        </c:ser>
        <c:dLbls>
          <c:dLblPos val="outEnd"/>
          <c:showLegendKey val="0"/>
          <c:showVal val="1"/>
          <c:showCatName val="0"/>
          <c:showSerName val="0"/>
          <c:showPercent val="0"/>
          <c:showBubbleSize val="0"/>
        </c:dLbls>
        <c:gapWidth val="269"/>
        <c:overlap val="-20"/>
        <c:axId val="1504728336"/>
        <c:axId val="1504731696"/>
      </c:barChart>
      <c:catAx>
        <c:axId val="1504728336"/>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504731696"/>
        <c:crosses val="autoZero"/>
        <c:auto val="1"/>
        <c:lblAlgn val="ctr"/>
        <c:lblOffset val="100"/>
        <c:noMultiLvlLbl val="0"/>
      </c:catAx>
      <c:valAx>
        <c:axId val="1504731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0472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00000">
          <a:schemeClr val="accent1">
            <a:lumMod val="45000"/>
            <a:lumOff val="55000"/>
          </a:schemeClr>
        </a:gs>
        <a:gs pos="42000">
          <a:schemeClr val="accent1">
            <a:lumMod val="45000"/>
            <a:lumOff val="55000"/>
          </a:schemeClr>
        </a:gs>
        <a:gs pos="66000">
          <a:schemeClr val="accent4">
            <a:lumMod val="60000"/>
            <a:lumOff val="40000"/>
          </a:schemeClr>
        </a:gs>
      </a:gsLst>
      <a:lin ang="5400000" scaled="1"/>
    </a:gra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[HR_Dashboard.xlsx]Pivot!kpi1_2</c:name>
    <c:fmtId val="4"/>
  </c:pivotSource>
  <c:chart>
    <c:title>
      <c:tx>
        <c:rich>
          <a:bodyPr rot="0" spcFirstLastPara="1" vertOverflow="ellipsis" vert="horz" wrap="square" anchor="ctr" anchorCtr="1"/>
          <a:lstStyle/>
          <a:p>
            <a:pPr>
              <a:defRPr sz="1200" b="1" i="0" u="none" strike="noStrike" kern="1200" cap="all" spc="100" normalizeH="0" baseline="0">
                <a:solidFill>
                  <a:schemeClr val="tx1">
                    <a:lumMod val="75000"/>
                    <a:lumOff val="25000"/>
                  </a:schemeClr>
                </a:solidFill>
                <a:latin typeface="+mn-lt"/>
                <a:ea typeface="+mn-ea"/>
                <a:cs typeface="+mn-cs"/>
              </a:defRPr>
            </a:pPr>
            <a:r>
              <a:rPr lang="en-IN" sz="1200">
                <a:solidFill>
                  <a:schemeClr val="tx1">
                    <a:lumMod val="75000"/>
                    <a:lumOff val="25000"/>
                  </a:schemeClr>
                </a:solidFill>
              </a:rPr>
              <a:t>eMPLOYEES</a:t>
            </a:r>
            <a:r>
              <a:rPr lang="en-IN" sz="1200" baseline="0">
                <a:solidFill>
                  <a:schemeClr val="tx1">
                    <a:lumMod val="75000"/>
                    <a:lumOff val="25000"/>
                  </a:schemeClr>
                </a:solidFill>
              </a:rPr>
              <a:t> TREND OVER JOINING YEAR</a:t>
            </a:r>
            <a:endParaRPr lang="en-IN" sz="1200">
              <a:solidFill>
                <a:schemeClr val="tx1">
                  <a:lumMod val="75000"/>
                  <a:lumOff val="25000"/>
                </a:schemeClr>
              </a:solidFill>
            </a:endParaRPr>
          </a:p>
        </c:rich>
      </c:tx>
      <c:overlay val="0"/>
      <c:spPr>
        <a:noFill/>
        <a:ln>
          <a:noFill/>
        </a:ln>
        <a:effectLst>
          <a:outerShdw blurRad="50800" dist="50800" dir="5400000" sx="1000" sy="1000" algn="ctr" rotWithShape="0">
            <a:srgbClr val="000000">
              <a:alpha val="43137"/>
            </a:srgbClr>
          </a:outerShdw>
        </a:effectLst>
      </c:spPr>
      <c:txPr>
        <a:bodyPr rot="0" spcFirstLastPara="1" vertOverflow="ellipsis" vert="horz" wrap="square" anchor="ctr" anchorCtr="1"/>
        <a:lstStyle/>
        <a:p>
          <a:pPr>
            <a:defRPr sz="1200" b="1" i="0" u="none" strike="noStrike" kern="1200" cap="all" spc="100" normalizeH="0" baseline="0">
              <a:solidFill>
                <a:schemeClr val="tx1">
                  <a:lumMod val="75000"/>
                  <a:lumOff val="25000"/>
                </a:schemeClr>
              </a:solidFill>
              <a:latin typeface="+mn-lt"/>
              <a:ea typeface="+mn-ea"/>
              <a:cs typeface="+mn-cs"/>
            </a:defRPr>
          </a:pPr>
          <a:endParaRPr lang="en-IN"/>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Pivot!$M$4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Pivot!$L$5:$L$11</c:f>
              <c:strCache>
                <c:ptCount val="6"/>
                <c:pt idx="0">
                  <c:v>2011-2015</c:v>
                </c:pt>
                <c:pt idx="1">
                  <c:v>2016-2020</c:v>
                </c:pt>
                <c:pt idx="2">
                  <c:v>2021-2025</c:v>
                </c:pt>
                <c:pt idx="3">
                  <c:v>2006-2010</c:v>
                </c:pt>
                <c:pt idx="4">
                  <c:v>2001-2005</c:v>
                </c:pt>
                <c:pt idx="5">
                  <c:v>1996-2000</c:v>
                </c:pt>
              </c:strCache>
            </c:strRef>
          </c:cat>
          <c:val>
            <c:numRef>
              <c:f>Pivot!$M$5:$M$11</c:f>
              <c:numCache>
                <c:formatCode>General</c:formatCode>
                <c:ptCount val="6"/>
                <c:pt idx="0">
                  <c:v>72</c:v>
                </c:pt>
                <c:pt idx="1">
                  <c:v>71</c:v>
                </c:pt>
                <c:pt idx="2">
                  <c:v>58</c:v>
                </c:pt>
                <c:pt idx="3">
                  <c:v>58</c:v>
                </c:pt>
                <c:pt idx="4">
                  <c:v>29</c:v>
                </c:pt>
                <c:pt idx="5">
                  <c:v>12</c:v>
                </c:pt>
              </c:numCache>
            </c:numRef>
          </c:val>
          <c:smooth val="0"/>
          <c:extLst>
            <c:ext xmlns:c16="http://schemas.microsoft.com/office/drawing/2014/chart" uri="{C3380CC4-5D6E-409C-BE32-E72D297353CC}">
              <c16:uniqueId val="{00000000-9AE6-4B1A-BE46-271FEBBDE16E}"/>
            </c:ext>
          </c:extLst>
        </c:ser>
        <c:dLbls>
          <c:dLblPos val="t"/>
          <c:showLegendKey val="0"/>
          <c:showVal val="1"/>
          <c:showCatName val="0"/>
          <c:showSerName val="0"/>
          <c:showPercent val="0"/>
          <c:showBubbleSize val="0"/>
        </c:dLbls>
        <c:dropLines>
          <c:spPr>
            <a:ln w="9525" cap="flat" cmpd="sng" algn="ctr">
              <a:gradFill>
                <a:gsLst>
                  <a:gs pos="0">
                    <a:schemeClr val="accent1">
                      <a:lumMod val="75000"/>
                    </a:schemeClr>
                  </a:gs>
                  <a:gs pos="73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1506187584"/>
        <c:axId val="1506188064"/>
      </c:lineChart>
      <c:catAx>
        <c:axId val="15061875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06188064"/>
        <c:crosses val="autoZero"/>
        <c:auto val="1"/>
        <c:lblAlgn val="ctr"/>
        <c:lblOffset val="100"/>
        <c:noMultiLvlLbl val="0"/>
      </c:catAx>
      <c:valAx>
        <c:axId val="1506188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0618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47000">
          <a:schemeClr val="accent1">
            <a:lumMod val="45000"/>
            <a:lumOff val="55000"/>
          </a:schemeClr>
        </a:gs>
        <a:gs pos="62000">
          <a:schemeClr val="accent1">
            <a:lumMod val="45000"/>
            <a:lumOff val="55000"/>
          </a:schemeClr>
        </a:gs>
        <a:gs pos="100000">
          <a:schemeClr val="accent4">
            <a:lumMod val="60000"/>
            <a:lumOff val="40000"/>
          </a:schemeClr>
        </a:gs>
      </a:gsLst>
      <a:lin ang="5400000" scaled="1"/>
    </a:gra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[HR_Dashboard.xlsx]Pivot!kpi1_3</c:name>
    <c:fmtId val="7"/>
  </c:pivotSource>
  <c:chart>
    <c:title>
      <c:tx>
        <c:rich>
          <a:bodyPr rot="0" spcFirstLastPara="1" vertOverflow="ellipsis" vert="horz" wrap="square" anchor="ctr" anchorCtr="1"/>
          <a:lstStyle/>
          <a:p>
            <a:pPr>
              <a:defRPr sz="1200" b="1" i="0" u="none" strike="noStrike" kern="1200" spc="0" baseline="0">
                <a:solidFill>
                  <a:schemeClr val="tx1">
                    <a:lumMod val="75000"/>
                    <a:lumOff val="25000"/>
                  </a:schemeClr>
                </a:solidFill>
                <a:latin typeface="+mn-lt"/>
                <a:ea typeface="+mn-ea"/>
                <a:cs typeface="+mn-cs"/>
              </a:defRPr>
            </a:pPr>
            <a:r>
              <a:rPr lang="en-IN" sz="1200" b="1">
                <a:solidFill>
                  <a:schemeClr val="tx1">
                    <a:lumMod val="75000"/>
                    <a:lumOff val="25000"/>
                  </a:schemeClr>
                </a:solidFill>
              </a:rPr>
              <a:t>TOTAL EMPLOYEES BY GENDER &amp; DEPARTMENT</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Pivot!$Q$5:$Q$6</c:f>
              <c:strCache>
                <c:ptCount val="1"/>
                <c:pt idx="0">
                  <c:v>Female</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Pivot!$P$7:$P$13</c:f>
              <c:strCache>
                <c:ptCount val="6"/>
                <c:pt idx="0">
                  <c:v>Finance</c:v>
                </c:pt>
                <c:pt idx="1">
                  <c:v>HR</c:v>
                </c:pt>
                <c:pt idx="2">
                  <c:v>IT</c:v>
                </c:pt>
                <c:pt idx="3">
                  <c:v>Marketing</c:v>
                </c:pt>
                <c:pt idx="4">
                  <c:v>Operations</c:v>
                </c:pt>
                <c:pt idx="5">
                  <c:v>Sales</c:v>
                </c:pt>
              </c:strCache>
            </c:strRef>
          </c:cat>
          <c:val>
            <c:numRef>
              <c:f>Pivot!$Q$7:$Q$13</c:f>
              <c:numCache>
                <c:formatCode>General</c:formatCode>
                <c:ptCount val="6"/>
                <c:pt idx="0">
                  <c:v>26</c:v>
                </c:pt>
                <c:pt idx="1">
                  <c:v>50</c:v>
                </c:pt>
                <c:pt idx="2">
                  <c:v>7</c:v>
                </c:pt>
                <c:pt idx="3">
                  <c:v>38</c:v>
                </c:pt>
                <c:pt idx="4">
                  <c:v>5</c:v>
                </c:pt>
                <c:pt idx="5">
                  <c:v>24</c:v>
                </c:pt>
              </c:numCache>
            </c:numRef>
          </c:val>
          <c:extLst>
            <c:ext xmlns:c16="http://schemas.microsoft.com/office/drawing/2014/chart" uri="{C3380CC4-5D6E-409C-BE32-E72D297353CC}">
              <c16:uniqueId val="{00000000-8C10-40D6-B083-24DF1406A731}"/>
            </c:ext>
          </c:extLst>
        </c:ser>
        <c:ser>
          <c:idx val="1"/>
          <c:order val="1"/>
          <c:tx>
            <c:strRef>
              <c:f>Pivot!$R$5:$R$6</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Pivot!$P$7:$P$13</c:f>
              <c:strCache>
                <c:ptCount val="6"/>
                <c:pt idx="0">
                  <c:v>Finance</c:v>
                </c:pt>
                <c:pt idx="1">
                  <c:v>HR</c:v>
                </c:pt>
                <c:pt idx="2">
                  <c:v>IT</c:v>
                </c:pt>
                <c:pt idx="3">
                  <c:v>Marketing</c:v>
                </c:pt>
                <c:pt idx="4">
                  <c:v>Operations</c:v>
                </c:pt>
                <c:pt idx="5">
                  <c:v>Sales</c:v>
                </c:pt>
              </c:strCache>
            </c:strRef>
          </c:cat>
          <c:val>
            <c:numRef>
              <c:f>Pivot!$R$7:$R$13</c:f>
              <c:numCache>
                <c:formatCode>General</c:formatCode>
                <c:ptCount val="6"/>
                <c:pt idx="0">
                  <c:v>25</c:v>
                </c:pt>
                <c:pt idx="1">
                  <c:v>1</c:v>
                </c:pt>
                <c:pt idx="2">
                  <c:v>53</c:v>
                </c:pt>
                <c:pt idx="3">
                  <c:v>8</c:v>
                </c:pt>
                <c:pt idx="4">
                  <c:v>38</c:v>
                </c:pt>
                <c:pt idx="5">
                  <c:v>25</c:v>
                </c:pt>
              </c:numCache>
            </c:numRef>
          </c:val>
          <c:extLst>
            <c:ext xmlns:c16="http://schemas.microsoft.com/office/drawing/2014/chart" uri="{C3380CC4-5D6E-409C-BE32-E72D297353CC}">
              <c16:uniqueId val="{00000018-9362-4B60-9CA0-4EF28291ABC7}"/>
            </c:ext>
          </c:extLst>
        </c:ser>
        <c:dLbls>
          <c:dLblPos val="ctr"/>
          <c:showLegendKey val="0"/>
          <c:showVal val="1"/>
          <c:showCatName val="0"/>
          <c:showSerName val="0"/>
          <c:showPercent val="0"/>
          <c:showBubbleSize val="0"/>
        </c:dLbls>
        <c:gapWidth val="150"/>
        <c:overlap val="100"/>
        <c:axId val="1663014368"/>
        <c:axId val="1663006208"/>
      </c:barChart>
      <c:catAx>
        <c:axId val="166301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006208"/>
        <c:crosses val="autoZero"/>
        <c:auto val="1"/>
        <c:lblAlgn val="ctr"/>
        <c:lblOffset val="100"/>
        <c:noMultiLvlLbl val="0"/>
      </c:catAx>
      <c:valAx>
        <c:axId val="1663006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01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[HR_Dashboard.xlsx]Pivot!kpi1_4</c:name>
    <c:fmtId val="5"/>
  </c:pivotSource>
  <c:chart>
    <c:title>
      <c:tx>
        <c:rich>
          <a:bodyPr rot="0" spcFirstLastPara="1" vertOverflow="ellipsis" vert="horz" wrap="square" anchor="ctr" anchorCtr="1"/>
          <a:lstStyle/>
          <a:p>
            <a:pPr>
              <a:defRPr sz="1200" b="1" i="0" u="none" strike="noStrike" kern="1200" spc="0" baseline="0">
                <a:solidFill>
                  <a:schemeClr val="tx1">
                    <a:lumMod val="75000"/>
                    <a:lumOff val="25000"/>
                  </a:schemeClr>
                </a:solidFill>
                <a:latin typeface="+mn-lt"/>
                <a:ea typeface="+mn-ea"/>
                <a:cs typeface="+mn-cs"/>
              </a:defRPr>
            </a:pPr>
            <a:r>
              <a:rPr lang="en-US" sz="1200" b="1" baseline="0">
                <a:solidFill>
                  <a:schemeClr val="tx1">
                    <a:lumMod val="75000"/>
                    <a:lumOff val="25000"/>
                  </a:schemeClr>
                </a:solidFill>
              </a:rPr>
              <a:t>EMPLOYEES BY ATTRITION STATUS</a:t>
            </a:r>
            <a:endParaRPr lang="en-US" sz="1200"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alpha val="85000"/>
            </a:schemeClr>
          </a:solidFill>
          <a:ln w="19050">
            <a:solidFill>
              <a:schemeClr val="lt1"/>
            </a:solidFill>
          </a:ln>
          <a:effectLst/>
        </c:spPr>
      </c:pivotFmt>
      <c:pivotFmt>
        <c:idx val="6"/>
        <c:spPr>
          <a:solidFill>
            <a:srgbClr val="FF0000">
              <a:alpha val="80000"/>
            </a:srgbClr>
          </a:solidFill>
          <a:ln w="19050">
            <a:solidFill>
              <a:schemeClr val="lt1"/>
            </a:solidFill>
          </a:ln>
          <a:effectLst/>
        </c:spPr>
      </c:pivotFmt>
      <c:pivotFmt>
        <c:idx val="7"/>
      </c:pivotFmt>
      <c:pivotFmt>
        <c:idx val="8"/>
        <c:spPr>
          <a:solidFill>
            <a:srgbClr val="FF0000">
              <a:alpha val="80000"/>
            </a:srgbClr>
          </a:solidFill>
          <a:ln w="19050">
            <a:solidFill>
              <a:schemeClr val="lt1"/>
            </a:solidFill>
          </a:ln>
          <a:effectLst/>
        </c:spPr>
      </c:pivotFmt>
      <c:pivotFmt>
        <c:idx val="9"/>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alpha val="87000"/>
            </a:schemeClr>
          </a:solidFill>
          <a:ln w="19050">
            <a:solidFill>
              <a:schemeClr val="lt1"/>
            </a:solidFill>
          </a:ln>
          <a:effectLst/>
        </c:spPr>
      </c:pivotFmt>
      <c:pivotFmt>
        <c:idx val="11"/>
        <c:spPr>
          <a:solidFill>
            <a:srgbClr val="FF0000">
              <a:alpha val="80000"/>
            </a:srgbClr>
          </a:solidFill>
          <a:ln w="19050">
            <a:solidFill>
              <a:schemeClr val="lt1"/>
            </a:solidFill>
          </a:ln>
          <a:effectLst/>
        </c:spPr>
      </c:pivotFmt>
    </c:pivotFmts>
    <c:plotArea>
      <c:layout>
        <c:manualLayout>
          <c:layoutTarget val="inner"/>
          <c:xMode val="edge"/>
          <c:yMode val="edge"/>
          <c:x val="0.21417052337051698"/>
          <c:y val="0.20531903724800357"/>
          <c:w val="0.50254185313901611"/>
          <c:h val="0.72922008153236151"/>
        </c:manualLayout>
      </c:layout>
      <c:pieChart>
        <c:varyColors val="1"/>
        <c:ser>
          <c:idx val="0"/>
          <c:order val="0"/>
          <c:tx>
            <c:strRef>
              <c:f>Pivot!$N$20</c:f>
              <c:strCache>
                <c:ptCount val="1"/>
                <c:pt idx="0">
                  <c:v>Total</c:v>
                </c:pt>
              </c:strCache>
            </c:strRef>
          </c:tx>
          <c:spPr>
            <a:solidFill>
              <a:srgbClr val="FF0000"/>
            </a:solidFill>
          </c:spPr>
          <c:dPt>
            <c:idx val="0"/>
            <c:bubble3D val="0"/>
            <c:spPr>
              <a:solidFill>
                <a:schemeClr val="accent6">
                  <a:lumMod val="75000"/>
                  <a:alpha val="87000"/>
                </a:schemeClr>
              </a:solidFill>
              <a:ln w="19050">
                <a:solidFill>
                  <a:schemeClr val="lt1"/>
                </a:solidFill>
              </a:ln>
              <a:effectLst/>
            </c:spPr>
            <c:extLst>
              <c:ext xmlns:c16="http://schemas.microsoft.com/office/drawing/2014/chart" uri="{C3380CC4-5D6E-409C-BE32-E72D297353CC}">
                <c16:uniqueId val="{00000005-0674-4C27-B51C-F26D2F1D2F07}"/>
              </c:ext>
            </c:extLst>
          </c:dPt>
          <c:dPt>
            <c:idx val="1"/>
            <c:bubble3D val="0"/>
            <c:spPr>
              <a:solidFill>
                <a:srgbClr val="FF0000">
                  <a:alpha val="80000"/>
                </a:srgbClr>
              </a:solidFill>
              <a:ln w="19050">
                <a:solidFill>
                  <a:schemeClr val="lt1"/>
                </a:solidFill>
              </a:ln>
              <a:effectLst/>
            </c:spPr>
            <c:extLst>
              <c:ext xmlns:c16="http://schemas.microsoft.com/office/drawing/2014/chart" uri="{C3380CC4-5D6E-409C-BE32-E72D297353CC}">
                <c16:uniqueId val="{00000006-0674-4C27-B51C-F26D2F1D2F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Pivot!$M$21:$M$23</c:f>
              <c:strCache>
                <c:ptCount val="2"/>
                <c:pt idx="0">
                  <c:v>No</c:v>
                </c:pt>
                <c:pt idx="1">
                  <c:v>Yes</c:v>
                </c:pt>
              </c:strCache>
            </c:strRef>
          </c:cat>
          <c:val>
            <c:numRef>
              <c:f>Pivot!$N$21:$N$23</c:f>
              <c:numCache>
                <c:formatCode>General</c:formatCode>
                <c:ptCount val="2"/>
                <c:pt idx="0">
                  <c:v>230</c:v>
                </c:pt>
                <c:pt idx="1">
                  <c:v>70</c:v>
                </c:pt>
              </c:numCache>
            </c:numRef>
          </c:val>
          <c:extLst>
            <c:ext xmlns:c16="http://schemas.microsoft.com/office/drawing/2014/chart" uri="{C3380CC4-5D6E-409C-BE32-E72D297353CC}">
              <c16:uniqueId val="{00000004-0674-4C27-B51C-F26D2F1D2F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[HR_Dashboard.xlsx]Pivot!kpi1_5</c:name>
    <c:fmtId val="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baseline="0"/>
              <a:t>EMPLOYEES BY WORK LOCATION </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bg1">
                  <a:lumMod val="85000"/>
                </a:schemeClr>
              </a:gs>
              <a:gs pos="69000">
                <a:schemeClr val="accent4">
                  <a:lumMod val="75000"/>
                </a:schemeClr>
              </a:gs>
              <a:gs pos="13000">
                <a:schemeClr val="accent1">
                  <a:lumMod val="45000"/>
                  <a:lumOff val="55000"/>
                </a:schemeClr>
              </a:gs>
              <a:gs pos="24000">
                <a:schemeClr val="accent4">
                  <a:lumMod val="60000"/>
                  <a:lumOff val="40000"/>
                </a:schemeClr>
              </a:gs>
            </a:gsLst>
            <a:lin ang="30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Pivot!$Q$17</c:f>
              <c:strCache>
                <c:ptCount val="1"/>
                <c:pt idx="0">
                  <c:v>Total</c:v>
                </c:pt>
              </c:strCache>
            </c:strRef>
          </c:tx>
          <c:spPr>
            <a:gradFill>
              <a:gsLst>
                <a:gs pos="0">
                  <a:schemeClr val="bg1">
                    <a:lumMod val="85000"/>
                  </a:schemeClr>
                </a:gs>
                <a:gs pos="69000">
                  <a:schemeClr val="accent4">
                    <a:lumMod val="75000"/>
                  </a:schemeClr>
                </a:gs>
                <a:gs pos="13000">
                  <a:schemeClr val="accent1">
                    <a:lumMod val="45000"/>
                    <a:lumOff val="55000"/>
                  </a:schemeClr>
                </a:gs>
                <a:gs pos="24000">
                  <a:schemeClr val="accent4">
                    <a:lumMod val="60000"/>
                    <a:lumOff val="40000"/>
                  </a:schemeClr>
                </a:gs>
              </a:gsLst>
              <a:lin ang="30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Pivot!$P$18:$P$24</c:f>
              <c:strCache>
                <c:ptCount val="6"/>
                <c:pt idx="0">
                  <c:v>Bangalore</c:v>
                </c:pt>
                <c:pt idx="1">
                  <c:v>Chennai</c:v>
                </c:pt>
                <c:pt idx="2">
                  <c:v>Delhi</c:v>
                </c:pt>
                <c:pt idx="3">
                  <c:v>Hyderabad</c:v>
                </c:pt>
                <c:pt idx="4">
                  <c:v>Mumbai</c:v>
                </c:pt>
                <c:pt idx="5">
                  <c:v>Pune</c:v>
                </c:pt>
              </c:strCache>
            </c:strRef>
          </c:cat>
          <c:val>
            <c:numRef>
              <c:f>Pivot!$Q$18:$Q$24</c:f>
              <c:numCache>
                <c:formatCode>General</c:formatCode>
                <c:ptCount val="6"/>
                <c:pt idx="0">
                  <c:v>66</c:v>
                </c:pt>
                <c:pt idx="1">
                  <c:v>43</c:v>
                </c:pt>
                <c:pt idx="2">
                  <c:v>47</c:v>
                </c:pt>
                <c:pt idx="3">
                  <c:v>47</c:v>
                </c:pt>
                <c:pt idx="4">
                  <c:v>51</c:v>
                </c:pt>
                <c:pt idx="5">
                  <c:v>46</c:v>
                </c:pt>
              </c:numCache>
            </c:numRef>
          </c:val>
          <c:extLst>
            <c:ext xmlns:c16="http://schemas.microsoft.com/office/drawing/2014/chart" uri="{C3380CC4-5D6E-409C-BE32-E72D297353CC}">
              <c16:uniqueId val="{00000000-5246-45DC-B89C-6D27D542B487}"/>
            </c:ext>
          </c:extLst>
        </c:ser>
        <c:dLbls>
          <c:dLblPos val="outEnd"/>
          <c:showLegendKey val="0"/>
          <c:showVal val="1"/>
          <c:showCatName val="0"/>
          <c:showSerName val="0"/>
          <c:showPercent val="0"/>
          <c:showBubbleSize val="0"/>
        </c:dLbls>
        <c:gapWidth val="182"/>
        <c:axId val="1663021088"/>
        <c:axId val="1663011968"/>
      </c:barChart>
      <c:catAx>
        <c:axId val="166302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011968"/>
        <c:crosses val="autoZero"/>
        <c:auto val="1"/>
        <c:lblAlgn val="ctr"/>
        <c:lblOffset val="100"/>
        <c:noMultiLvlLbl val="0"/>
      </c:catAx>
      <c:valAx>
        <c:axId val="1663011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02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2">
            <a:lumMod val="10000"/>
            <a:lumOff val="90000"/>
          </a:schemeClr>
        </a:gs>
        <a:gs pos="100000">
          <a:schemeClr val="accent1">
            <a:lumMod val="45000"/>
            <a:lumOff val="55000"/>
          </a:schemeClr>
        </a:gs>
        <a:gs pos="46000">
          <a:schemeClr val="accent1">
            <a:lumMod val="45000"/>
            <a:lumOff val="55000"/>
          </a:schemeClr>
        </a:gs>
        <a:gs pos="66000">
          <a:schemeClr val="accent4">
            <a:lumMod val="60000"/>
            <a:lumOff val="40000"/>
          </a:schemeClr>
        </a:gs>
      </a:gsLst>
      <a:lin ang="5400000" scaled="1"/>
    </a:gra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[HR_Dashboard.xlsx]Pivot!kpi2_1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Attrition</a:t>
            </a:r>
            <a:r>
              <a:rPr lang="en-IN" baseline="0"/>
              <a:t> Rate by Year</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Pivot!$B$29</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Pivot!$A$30:$A$35</c:f>
              <c:strCache>
                <c:ptCount val="6"/>
                <c:pt idx="0">
                  <c:v>1996-2000</c:v>
                </c:pt>
                <c:pt idx="1">
                  <c:v>2001-2005</c:v>
                </c:pt>
                <c:pt idx="2">
                  <c:v>2006-2010</c:v>
                </c:pt>
                <c:pt idx="3">
                  <c:v>2011-2015</c:v>
                </c:pt>
                <c:pt idx="4">
                  <c:v>2016-2020</c:v>
                </c:pt>
                <c:pt idx="5">
                  <c:v>2021-2025</c:v>
                </c:pt>
              </c:strCache>
            </c:strRef>
          </c:cat>
          <c:val>
            <c:numRef>
              <c:f>Pivot!$B$30:$B$35</c:f>
              <c:numCache>
                <c:formatCode>0%</c:formatCode>
                <c:ptCount val="6"/>
                <c:pt idx="0">
                  <c:v>0.04</c:v>
                </c:pt>
                <c:pt idx="1">
                  <c:v>9.6666666666666665E-2</c:v>
                </c:pt>
                <c:pt idx="2">
                  <c:v>0.19333333333333333</c:v>
                </c:pt>
                <c:pt idx="3">
                  <c:v>0.24</c:v>
                </c:pt>
                <c:pt idx="4">
                  <c:v>0.23666666666666666</c:v>
                </c:pt>
                <c:pt idx="5">
                  <c:v>0.19333333333333333</c:v>
                </c:pt>
              </c:numCache>
            </c:numRef>
          </c:val>
          <c:extLst>
            <c:ext xmlns:c16="http://schemas.microsoft.com/office/drawing/2014/chart" uri="{C3380CC4-5D6E-409C-BE32-E72D297353CC}">
              <c16:uniqueId val="{00000000-FEA8-43BB-8092-50D00DB578CC}"/>
            </c:ext>
          </c:extLst>
        </c:ser>
        <c:dLbls>
          <c:showLegendKey val="0"/>
          <c:showVal val="1"/>
          <c:showCatName val="0"/>
          <c:showSerName val="0"/>
          <c:showPercent val="0"/>
          <c:showBubbleSize val="0"/>
        </c:dLbls>
        <c:axId val="1504734096"/>
        <c:axId val="1504736016"/>
      </c:areaChart>
      <c:catAx>
        <c:axId val="150473409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736016"/>
        <c:crosses val="autoZero"/>
        <c:auto val="1"/>
        <c:lblAlgn val="ctr"/>
        <c:lblOffset val="100"/>
        <c:noMultiLvlLbl val="0"/>
      </c:catAx>
      <c:valAx>
        <c:axId val="15047360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7340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[HR_Dashboard.xlsx]Pivot!kpi2_2</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Attrition</a:t>
            </a:r>
            <a:r>
              <a:rPr lang="en-IN" sz="1600" b="1" baseline="0"/>
              <a:t> Rate by Department</a:t>
            </a:r>
            <a:endParaRPr lang="en-IN"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Pivot!$E$29:$E$30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Pivot!$D$31:$D$36</c:f>
              <c:strCache>
                <c:ptCount val="6"/>
                <c:pt idx="0">
                  <c:v>Finance</c:v>
                </c:pt>
                <c:pt idx="1">
                  <c:v>HR</c:v>
                </c:pt>
                <c:pt idx="2">
                  <c:v>IT</c:v>
                </c:pt>
                <c:pt idx="3">
                  <c:v>Marketing</c:v>
                </c:pt>
                <c:pt idx="4">
                  <c:v>Operations</c:v>
                </c:pt>
                <c:pt idx="5">
                  <c:v>Sales</c:v>
                </c:pt>
              </c:strCache>
            </c:strRef>
          </c:cat>
          <c:val>
            <c:numRef>
              <c:f>Pivot!$E$31:$E$36</c:f>
              <c:numCache>
                <c:formatCode>0%</c:formatCode>
                <c:ptCount val="6"/>
                <c:pt idx="0">
                  <c:v>0.90196078431372551</c:v>
                </c:pt>
                <c:pt idx="1">
                  <c:v>0.56862745098039214</c:v>
                </c:pt>
                <c:pt idx="2">
                  <c:v>0.83333333333333337</c:v>
                </c:pt>
                <c:pt idx="3">
                  <c:v>0.67391304347826086</c:v>
                </c:pt>
                <c:pt idx="4">
                  <c:v>1</c:v>
                </c:pt>
                <c:pt idx="5">
                  <c:v>0.63265306122448983</c:v>
                </c:pt>
              </c:numCache>
            </c:numRef>
          </c:val>
          <c:extLst>
            <c:ext xmlns:c16="http://schemas.microsoft.com/office/drawing/2014/chart" uri="{C3380CC4-5D6E-409C-BE32-E72D297353CC}">
              <c16:uniqueId val="{00000000-9193-47DE-BEBE-804D564D6953}"/>
            </c:ext>
          </c:extLst>
        </c:ser>
        <c:ser>
          <c:idx val="1"/>
          <c:order val="1"/>
          <c:tx>
            <c:strRef>
              <c:f>Pivot!$F$29:$F$30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Pivot!$D$31:$D$36</c:f>
              <c:strCache>
                <c:ptCount val="6"/>
                <c:pt idx="0">
                  <c:v>Finance</c:v>
                </c:pt>
                <c:pt idx="1">
                  <c:v>HR</c:v>
                </c:pt>
                <c:pt idx="2">
                  <c:v>IT</c:v>
                </c:pt>
                <c:pt idx="3">
                  <c:v>Marketing</c:v>
                </c:pt>
                <c:pt idx="4">
                  <c:v>Operations</c:v>
                </c:pt>
                <c:pt idx="5">
                  <c:v>Sales</c:v>
                </c:pt>
              </c:strCache>
            </c:strRef>
          </c:cat>
          <c:val>
            <c:numRef>
              <c:f>Pivot!$F$31:$F$36</c:f>
              <c:numCache>
                <c:formatCode>0%</c:formatCode>
                <c:ptCount val="6"/>
                <c:pt idx="0">
                  <c:v>9.8039215686274508E-2</c:v>
                </c:pt>
                <c:pt idx="1">
                  <c:v>0.43137254901960786</c:v>
                </c:pt>
                <c:pt idx="2">
                  <c:v>0.16666666666666666</c:v>
                </c:pt>
                <c:pt idx="3">
                  <c:v>0.32608695652173914</c:v>
                </c:pt>
                <c:pt idx="4">
                  <c:v>0</c:v>
                </c:pt>
                <c:pt idx="5">
                  <c:v>0.36734693877551022</c:v>
                </c:pt>
              </c:numCache>
            </c:numRef>
          </c:val>
          <c:extLst>
            <c:ext xmlns:c16="http://schemas.microsoft.com/office/drawing/2014/chart" uri="{C3380CC4-5D6E-409C-BE32-E72D297353CC}">
              <c16:uniqueId val="{00000006-15A3-419A-9D5F-5FC33585EC7A}"/>
            </c:ext>
          </c:extLst>
        </c:ser>
        <c:dLbls>
          <c:dLblPos val="outEnd"/>
          <c:showLegendKey val="0"/>
          <c:showVal val="1"/>
          <c:showCatName val="0"/>
          <c:showSerName val="0"/>
          <c:showPercent val="0"/>
          <c:showBubbleSize val="0"/>
        </c:dLbls>
        <c:gapWidth val="219"/>
        <c:overlap val="-27"/>
        <c:axId val="1699312800"/>
        <c:axId val="1699313280"/>
      </c:barChart>
      <c:catAx>
        <c:axId val="16993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313280"/>
        <c:crosses val="autoZero"/>
        <c:auto val="1"/>
        <c:lblAlgn val="ctr"/>
        <c:lblOffset val="100"/>
        <c:noMultiLvlLbl val="0"/>
      </c:catAx>
      <c:valAx>
        <c:axId val="16993132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3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[HR_Dashboard.xlsx]Pivot!kpi2_3</c:name>
    <c:fmtId val="1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Attrition</a:t>
            </a:r>
            <a:r>
              <a:rPr lang="en-IN" sz="1600" b="1" baseline="0"/>
              <a:t> Rate by Gender</a:t>
            </a:r>
            <a:endParaRPr lang="en-IN"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Pivot!$E$50:$E$51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Pivot!$D$52:$D$53</c:f>
              <c:strCache>
                <c:ptCount val="2"/>
                <c:pt idx="0">
                  <c:v>Female</c:v>
                </c:pt>
                <c:pt idx="1">
                  <c:v>Male</c:v>
                </c:pt>
              </c:strCache>
            </c:strRef>
          </c:cat>
          <c:val>
            <c:numRef>
              <c:f>Pivot!$E$52:$E$53</c:f>
              <c:numCache>
                <c:formatCode>0%</c:formatCode>
                <c:ptCount val="2"/>
                <c:pt idx="0">
                  <c:v>0.68</c:v>
                </c:pt>
                <c:pt idx="1">
                  <c:v>0.85333333333333339</c:v>
                </c:pt>
              </c:numCache>
            </c:numRef>
          </c:val>
          <c:extLst>
            <c:ext xmlns:c16="http://schemas.microsoft.com/office/drawing/2014/chart" uri="{C3380CC4-5D6E-409C-BE32-E72D297353CC}">
              <c16:uniqueId val="{00000000-AF4D-41E5-9F86-820A7B9EF64A}"/>
            </c:ext>
          </c:extLst>
        </c:ser>
        <c:ser>
          <c:idx val="1"/>
          <c:order val="1"/>
          <c:tx>
            <c:strRef>
              <c:f>Pivot!$F$50:$F$51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Pivot!$D$52:$D$53</c:f>
              <c:strCache>
                <c:ptCount val="2"/>
                <c:pt idx="0">
                  <c:v>Female</c:v>
                </c:pt>
                <c:pt idx="1">
                  <c:v>Male</c:v>
                </c:pt>
              </c:strCache>
            </c:strRef>
          </c:cat>
          <c:val>
            <c:numRef>
              <c:f>Pivot!$F$52:$F$53</c:f>
              <c:numCache>
                <c:formatCode>0%</c:formatCode>
                <c:ptCount val="2"/>
                <c:pt idx="0">
                  <c:v>0.32</c:v>
                </c:pt>
                <c:pt idx="1">
                  <c:v>0.14666666666666667</c:v>
                </c:pt>
              </c:numCache>
            </c:numRef>
          </c:val>
          <c:extLst>
            <c:ext xmlns:c16="http://schemas.microsoft.com/office/drawing/2014/chart" uri="{C3380CC4-5D6E-409C-BE32-E72D297353CC}">
              <c16:uniqueId val="{00000006-F5FE-46BE-9A9C-432CD20C321A}"/>
            </c:ext>
          </c:extLst>
        </c:ser>
        <c:dLbls>
          <c:dLblPos val="ctr"/>
          <c:showLegendKey val="0"/>
          <c:showVal val="1"/>
          <c:showCatName val="0"/>
          <c:showSerName val="0"/>
          <c:showPercent val="0"/>
          <c:showBubbleSize val="0"/>
        </c:dLbls>
        <c:gapWidth val="150"/>
        <c:overlap val="100"/>
        <c:axId val="2134192783"/>
        <c:axId val="2134195663"/>
      </c:barChart>
      <c:catAx>
        <c:axId val="213419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195663"/>
        <c:crosses val="autoZero"/>
        <c:auto val="1"/>
        <c:lblAlgn val="ctr"/>
        <c:lblOffset val="100"/>
        <c:noMultiLvlLbl val="0"/>
      </c:catAx>
      <c:valAx>
        <c:axId val="213419566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19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[HR_Dashboard.xlsx]Pivot!kpi2_5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a:t>Attrition</a:t>
            </a:r>
            <a:r>
              <a:rPr lang="en-IN" sz="1400" b="1" baseline="0"/>
              <a:t> Rate by Work Location</a:t>
            </a:r>
            <a:endParaRPr lang="en-IN"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Pivot!$E$39:$E$40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Pivot!$D$41:$D$46</c:f>
              <c:strCache>
                <c:ptCount val="6"/>
                <c:pt idx="0">
                  <c:v>Bangalore</c:v>
                </c:pt>
                <c:pt idx="1">
                  <c:v>Chennai</c:v>
                </c:pt>
                <c:pt idx="2">
                  <c:v>Delhi</c:v>
                </c:pt>
                <c:pt idx="3">
                  <c:v>Hyderabad</c:v>
                </c:pt>
                <c:pt idx="4">
                  <c:v>Mumbai</c:v>
                </c:pt>
                <c:pt idx="5">
                  <c:v>Pune</c:v>
                </c:pt>
              </c:strCache>
            </c:strRef>
          </c:cat>
          <c:val>
            <c:numRef>
              <c:f>Pivot!$E$41:$E$46</c:f>
              <c:numCache>
                <c:formatCode>0%</c:formatCode>
                <c:ptCount val="6"/>
                <c:pt idx="0">
                  <c:v>0.81818181818181823</c:v>
                </c:pt>
                <c:pt idx="1">
                  <c:v>0.88372093023255816</c:v>
                </c:pt>
                <c:pt idx="2">
                  <c:v>0.68085106382978722</c:v>
                </c:pt>
                <c:pt idx="3">
                  <c:v>0.72340425531914898</c:v>
                </c:pt>
                <c:pt idx="4">
                  <c:v>0.96078431372549022</c:v>
                </c:pt>
                <c:pt idx="5">
                  <c:v>0.5</c:v>
                </c:pt>
              </c:numCache>
            </c:numRef>
          </c:val>
          <c:extLst>
            <c:ext xmlns:c16="http://schemas.microsoft.com/office/drawing/2014/chart" uri="{C3380CC4-5D6E-409C-BE32-E72D297353CC}">
              <c16:uniqueId val="{00000000-969B-4C62-A0ED-9A223DA2C445}"/>
            </c:ext>
          </c:extLst>
        </c:ser>
        <c:ser>
          <c:idx val="1"/>
          <c:order val="1"/>
          <c:tx>
            <c:strRef>
              <c:f>Pivot!$F$39:$F$40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Pivot!$D$41:$D$46</c:f>
              <c:strCache>
                <c:ptCount val="6"/>
                <c:pt idx="0">
                  <c:v>Bangalore</c:v>
                </c:pt>
                <c:pt idx="1">
                  <c:v>Chennai</c:v>
                </c:pt>
                <c:pt idx="2">
                  <c:v>Delhi</c:v>
                </c:pt>
                <c:pt idx="3">
                  <c:v>Hyderabad</c:v>
                </c:pt>
                <c:pt idx="4">
                  <c:v>Mumbai</c:v>
                </c:pt>
                <c:pt idx="5">
                  <c:v>Pune</c:v>
                </c:pt>
              </c:strCache>
            </c:strRef>
          </c:cat>
          <c:val>
            <c:numRef>
              <c:f>Pivot!$F$41:$F$46</c:f>
              <c:numCache>
                <c:formatCode>0%</c:formatCode>
                <c:ptCount val="6"/>
                <c:pt idx="0">
                  <c:v>0.18181818181818182</c:v>
                </c:pt>
                <c:pt idx="1">
                  <c:v>0.11627906976744186</c:v>
                </c:pt>
                <c:pt idx="2">
                  <c:v>0.31914893617021278</c:v>
                </c:pt>
                <c:pt idx="3">
                  <c:v>0.27659574468085107</c:v>
                </c:pt>
                <c:pt idx="4">
                  <c:v>3.9215686274509803E-2</c:v>
                </c:pt>
                <c:pt idx="5">
                  <c:v>0.5</c:v>
                </c:pt>
              </c:numCache>
            </c:numRef>
          </c:val>
          <c:extLst>
            <c:ext xmlns:c16="http://schemas.microsoft.com/office/drawing/2014/chart" uri="{C3380CC4-5D6E-409C-BE32-E72D297353CC}">
              <c16:uniqueId val="{00000006-6D4D-461F-9CD3-9E6793ED2851}"/>
            </c:ext>
          </c:extLst>
        </c:ser>
        <c:dLbls>
          <c:dLblPos val="ctr"/>
          <c:showLegendKey val="0"/>
          <c:showVal val="1"/>
          <c:showCatName val="0"/>
          <c:showSerName val="0"/>
          <c:showPercent val="0"/>
          <c:showBubbleSize val="0"/>
        </c:dLbls>
        <c:gapWidth val="150"/>
        <c:overlap val="100"/>
        <c:axId val="2132626911"/>
        <c:axId val="2132629311"/>
      </c:barChart>
      <c:catAx>
        <c:axId val="213262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629311"/>
        <c:crosses val="autoZero"/>
        <c:auto val="1"/>
        <c:lblAlgn val="ctr"/>
        <c:lblOffset val="100"/>
        <c:noMultiLvlLbl val="0"/>
      </c:catAx>
      <c:valAx>
        <c:axId val="213262931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62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[HR_Dashboard.xlsx]Pivot!kpi2_4</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Highest</a:t>
            </a:r>
            <a:r>
              <a:rPr lang="en-US" sz="1600" b="1" baseline="0"/>
              <a:t> Attrition Rate in Departments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96028079625438"/>
          <c:y val="0.19197365954255721"/>
          <c:w val="0.36748025261687894"/>
          <c:h val="0.6906660104986877"/>
        </c:manualLayout>
      </c:layout>
      <c:doughnutChart>
        <c:varyColors val="1"/>
        <c:ser>
          <c:idx val="0"/>
          <c:order val="0"/>
          <c:tx>
            <c:strRef>
              <c:f>Pivot!$E$60:$E$61</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54-4AD4-8573-54C56B7914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54-4AD4-8573-54C56B7914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54-4AD4-8573-54C56B7914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554-4AD4-8573-54C56B7914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554-4AD4-8573-54C56B7914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Pivot!$D$62:$D$67</c:f>
              <c:strCache>
                <c:ptCount val="5"/>
                <c:pt idx="0">
                  <c:v>HR</c:v>
                </c:pt>
                <c:pt idx="1">
                  <c:v>Sales</c:v>
                </c:pt>
                <c:pt idx="2">
                  <c:v>Marketing</c:v>
                </c:pt>
                <c:pt idx="3">
                  <c:v>IT</c:v>
                </c:pt>
                <c:pt idx="4">
                  <c:v>Finance</c:v>
                </c:pt>
              </c:strCache>
            </c:strRef>
          </c:cat>
          <c:val>
            <c:numRef>
              <c:f>Pivot!$E$62:$E$67</c:f>
              <c:numCache>
                <c:formatCode>0%</c:formatCode>
                <c:ptCount val="5"/>
                <c:pt idx="0">
                  <c:v>0.31428571428571428</c:v>
                </c:pt>
                <c:pt idx="1">
                  <c:v>0.25714285714285712</c:v>
                </c:pt>
                <c:pt idx="2">
                  <c:v>0.21428571428571427</c:v>
                </c:pt>
                <c:pt idx="3">
                  <c:v>0.14285714285714285</c:v>
                </c:pt>
                <c:pt idx="4">
                  <c:v>7.1428571428571425E-2</c:v>
                </c:pt>
              </c:numCache>
            </c:numRef>
          </c:val>
          <c:extLst>
            <c:ext xmlns:c16="http://schemas.microsoft.com/office/drawing/2014/chart" uri="{C3380CC4-5D6E-409C-BE32-E72D297353CC}">
              <c16:uniqueId val="{0000000F-7B3B-4011-A76B-A2B364A3080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[HR_Dashboard.xlsx]Pivot!kpi3_2</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a:t>
            </a:r>
            <a:r>
              <a:rPr lang="en-US" baseline="0"/>
              <a:t> salary by departmentS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Pivot!$AA$4</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Pivot!$Z$5:$Z$11</c:f>
              <c:strCache>
                <c:ptCount val="6"/>
                <c:pt idx="0">
                  <c:v>Finance</c:v>
                </c:pt>
                <c:pt idx="1">
                  <c:v>HR</c:v>
                </c:pt>
                <c:pt idx="2">
                  <c:v>IT</c:v>
                </c:pt>
                <c:pt idx="3">
                  <c:v>Marketing</c:v>
                </c:pt>
                <c:pt idx="4">
                  <c:v>Operations</c:v>
                </c:pt>
                <c:pt idx="5">
                  <c:v>Sales</c:v>
                </c:pt>
              </c:strCache>
            </c:strRef>
          </c:cat>
          <c:val>
            <c:numRef>
              <c:f>Pivot!$AA$5:$AA$11</c:f>
              <c:numCache>
                <c:formatCode>_ "₹"\ * #,##0_ ;_ "₹"\ * \-#,##0_ ;_ "₹"\ * "-"??_ ;_ @_ </c:formatCode>
                <c:ptCount val="6"/>
                <c:pt idx="0">
                  <c:v>90803.921568627455</c:v>
                </c:pt>
                <c:pt idx="1">
                  <c:v>66529.411764705888</c:v>
                </c:pt>
                <c:pt idx="2">
                  <c:v>79283.333333333328</c:v>
                </c:pt>
                <c:pt idx="3">
                  <c:v>72347.826086956527</c:v>
                </c:pt>
                <c:pt idx="4">
                  <c:v>122488.37209302325</c:v>
                </c:pt>
                <c:pt idx="5">
                  <c:v>70469.387755102041</c:v>
                </c:pt>
              </c:numCache>
            </c:numRef>
          </c:val>
          <c:smooth val="0"/>
          <c:extLst>
            <c:ext xmlns:c16="http://schemas.microsoft.com/office/drawing/2014/chart" uri="{C3380CC4-5D6E-409C-BE32-E72D297353CC}">
              <c16:uniqueId val="{00000000-1CE4-43FD-A5DC-056C0518CDB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34960623"/>
        <c:axId val="2134959183"/>
      </c:lineChart>
      <c:catAx>
        <c:axId val="2134960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134959183"/>
        <c:crosses val="autoZero"/>
        <c:auto val="1"/>
        <c:lblAlgn val="ctr"/>
        <c:lblOffset val="100"/>
        <c:noMultiLvlLbl val="0"/>
      </c:catAx>
      <c:valAx>
        <c:axId val="2134959183"/>
        <c:scaling>
          <c:orientation val="minMax"/>
        </c:scaling>
        <c:delete val="1"/>
        <c:axPos val="l"/>
        <c:numFmt formatCode="_ &quot;₹&quot;\ * #,##0_ ;_ &quot;₹&quot;\ * \-#,##0_ ;_ &quot;₹&quot;\ * &quot;-&quot;??_ ;_ @_ " sourceLinked="1"/>
        <c:majorTickMark val="none"/>
        <c:minorTickMark val="none"/>
        <c:tickLblPos val="nextTo"/>
        <c:crossAx val="213496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93000"/>
      </a:schemeClr>
    </a:soli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[HR_Dashboard.xlsx]Pivot!kpi3_3</c:name>
    <c:fmtId val="16"/>
  </c:pivotSource>
  <c:chart>
    <c:title>
      <c:tx>
        <c:rich>
          <a:bodyPr rot="0" spcFirstLastPara="1" vertOverflow="ellipsis" vert="horz" wrap="square" anchor="ctr" anchorCtr="1"/>
          <a:lstStyle/>
          <a:p>
            <a:pPr algn="ctr" rtl="0">
              <a:defRPr lang="en-US" sz="1200" b="1" i="0" u="none" strike="noStrike" kern="1200" cap="all" spc="100" normalizeH="0" baseline="0">
                <a:solidFill>
                  <a:schemeClr val="bg2">
                    <a:lumMod val="25000"/>
                  </a:schemeClr>
                </a:solidFill>
                <a:latin typeface="+mn-lt"/>
                <a:ea typeface="+mn-ea"/>
                <a:cs typeface="+mn-cs"/>
              </a:defRPr>
            </a:pPr>
            <a:r>
              <a:rPr lang="en-US" sz="1200" b="1" i="0" u="none" strike="noStrike" kern="1200" cap="all" spc="100" normalizeH="0" baseline="0">
                <a:solidFill>
                  <a:schemeClr val="bg2">
                    <a:lumMod val="25000"/>
                  </a:schemeClr>
                </a:solidFill>
                <a:latin typeface="+mn-lt"/>
                <a:ea typeface="+mn-ea"/>
                <a:cs typeface="+mn-cs"/>
              </a:rPr>
              <a:t>Avg salary by gender across departments  </a:t>
            </a:r>
          </a:p>
        </c:rich>
      </c:tx>
      <c:overlay val="0"/>
      <c:spPr>
        <a:noFill/>
        <a:ln>
          <a:noFill/>
        </a:ln>
        <a:effectLst/>
      </c:spPr>
      <c:txPr>
        <a:bodyPr rot="0" spcFirstLastPara="1" vertOverflow="ellipsis" vert="horz" wrap="square" anchor="ctr" anchorCtr="1"/>
        <a:lstStyle/>
        <a:p>
          <a:pPr algn="ctr" rtl="0">
            <a:defRPr lang="en-US" sz="1200" b="1" i="0" u="none" strike="noStrike" kern="1200" cap="all" spc="100" normalizeH="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85870516185477"/>
          <c:y val="0.22846560846560846"/>
          <c:w val="0.64085848643919507"/>
          <c:h val="0.64921551472732575"/>
        </c:manualLayout>
      </c:layout>
      <c:barChart>
        <c:barDir val="col"/>
        <c:grouping val="stacked"/>
        <c:varyColors val="0"/>
        <c:ser>
          <c:idx val="0"/>
          <c:order val="0"/>
          <c:tx>
            <c:strRef>
              <c:f>Pivot!$W$14:$W$15</c:f>
              <c:strCache>
                <c:ptCount val="1"/>
                <c:pt idx="0">
                  <c:v>Finance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Pivot!$V$16:$V$18</c:f>
              <c:strCache>
                <c:ptCount val="2"/>
                <c:pt idx="0">
                  <c:v>Female</c:v>
                </c:pt>
                <c:pt idx="1">
                  <c:v>Male</c:v>
                </c:pt>
              </c:strCache>
            </c:strRef>
          </c:cat>
          <c:val>
            <c:numRef>
              <c:f>Pivot!$W$16:$W$18</c:f>
              <c:numCache>
                <c:formatCode>_ "₹"\ * #,##0_ ;_ "₹"\ * \-#,##0_ ;_ "₹"\ * "-"??_ ;_ @_ </c:formatCode>
                <c:ptCount val="2"/>
                <c:pt idx="0">
                  <c:v>95884.61538461539</c:v>
                </c:pt>
                <c:pt idx="1">
                  <c:v>85520</c:v>
                </c:pt>
              </c:numCache>
            </c:numRef>
          </c:val>
          <c:extLst>
            <c:ext xmlns:c16="http://schemas.microsoft.com/office/drawing/2014/chart" uri="{C3380CC4-5D6E-409C-BE32-E72D297353CC}">
              <c16:uniqueId val="{00000000-A88B-41C7-A516-F50B0F545EBC}"/>
            </c:ext>
          </c:extLst>
        </c:ser>
        <c:ser>
          <c:idx val="1"/>
          <c:order val="1"/>
          <c:tx>
            <c:strRef>
              <c:f>Pivot!$X$14:$X$15</c:f>
              <c:strCache>
                <c:ptCount val="1"/>
                <c:pt idx="0">
                  <c:v>HR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Pivot!$V$16:$V$18</c:f>
              <c:strCache>
                <c:ptCount val="2"/>
                <c:pt idx="0">
                  <c:v>Female</c:v>
                </c:pt>
                <c:pt idx="1">
                  <c:v>Male</c:v>
                </c:pt>
              </c:strCache>
            </c:strRef>
          </c:cat>
          <c:val>
            <c:numRef>
              <c:f>Pivot!$X$16:$X$18</c:f>
              <c:numCache>
                <c:formatCode>_ "₹"\ * #,##0_ ;_ "₹"\ * \-#,##0_ ;_ "₹"\ * "-"??_ ;_ @_ </c:formatCode>
                <c:ptCount val="2"/>
                <c:pt idx="0">
                  <c:v>67060</c:v>
                </c:pt>
                <c:pt idx="1">
                  <c:v>40000</c:v>
                </c:pt>
              </c:numCache>
            </c:numRef>
          </c:val>
          <c:extLst>
            <c:ext xmlns:c16="http://schemas.microsoft.com/office/drawing/2014/chart" uri="{C3380CC4-5D6E-409C-BE32-E72D297353CC}">
              <c16:uniqueId val="{00000038-AA81-4FFA-BBEB-ADDA055B2DE7}"/>
            </c:ext>
          </c:extLst>
        </c:ser>
        <c:ser>
          <c:idx val="2"/>
          <c:order val="2"/>
          <c:tx>
            <c:strRef>
              <c:f>Pivot!$Y$14:$Y$15</c:f>
              <c:strCache>
                <c:ptCount val="1"/>
                <c:pt idx="0">
                  <c:v>IT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Pivot!$V$16:$V$18</c:f>
              <c:strCache>
                <c:ptCount val="2"/>
                <c:pt idx="0">
                  <c:v>Female</c:v>
                </c:pt>
                <c:pt idx="1">
                  <c:v>Male</c:v>
                </c:pt>
              </c:strCache>
            </c:strRef>
          </c:cat>
          <c:val>
            <c:numRef>
              <c:f>Pivot!$Y$16:$Y$18</c:f>
              <c:numCache>
                <c:formatCode>_ "₹"\ * #,##0_ ;_ "₹"\ * \-#,##0_ ;_ "₹"\ * "-"??_ ;_ @_ </c:formatCode>
                <c:ptCount val="2"/>
                <c:pt idx="0">
                  <c:v>60285.714285714283</c:v>
                </c:pt>
                <c:pt idx="1">
                  <c:v>81792.452830188675</c:v>
                </c:pt>
              </c:numCache>
            </c:numRef>
          </c:val>
          <c:extLst>
            <c:ext xmlns:c16="http://schemas.microsoft.com/office/drawing/2014/chart" uri="{C3380CC4-5D6E-409C-BE32-E72D297353CC}">
              <c16:uniqueId val="{00000039-AA81-4FFA-BBEB-ADDA055B2DE7}"/>
            </c:ext>
          </c:extLst>
        </c:ser>
        <c:ser>
          <c:idx val="3"/>
          <c:order val="3"/>
          <c:tx>
            <c:strRef>
              <c:f>Pivot!$Z$14:$Z$15</c:f>
              <c:strCache>
                <c:ptCount val="1"/>
                <c:pt idx="0">
                  <c:v>Marketing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Pivot!$V$16:$V$18</c:f>
              <c:strCache>
                <c:ptCount val="2"/>
                <c:pt idx="0">
                  <c:v>Female</c:v>
                </c:pt>
                <c:pt idx="1">
                  <c:v>Male</c:v>
                </c:pt>
              </c:strCache>
            </c:strRef>
          </c:cat>
          <c:val>
            <c:numRef>
              <c:f>Pivot!$Z$16:$Z$18</c:f>
              <c:numCache>
                <c:formatCode>_ "₹"\ * #,##0_ ;_ "₹"\ * \-#,##0_ ;_ "₹"\ * "-"??_ ;_ @_ </c:formatCode>
                <c:ptCount val="2"/>
                <c:pt idx="0">
                  <c:v>65842.105263157893</c:v>
                </c:pt>
                <c:pt idx="1">
                  <c:v>103250</c:v>
                </c:pt>
              </c:numCache>
            </c:numRef>
          </c:val>
          <c:extLst>
            <c:ext xmlns:c16="http://schemas.microsoft.com/office/drawing/2014/chart" uri="{C3380CC4-5D6E-409C-BE32-E72D297353CC}">
              <c16:uniqueId val="{0000003A-AA81-4FFA-BBEB-ADDA055B2DE7}"/>
            </c:ext>
          </c:extLst>
        </c:ser>
        <c:ser>
          <c:idx val="4"/>
          <c:order val="4"/>
          <c:tx>
            <c:strRef>
              <c:f>Pivot!$AA$14:$AA$15</c:f>
              <c:strCache>
                <c:ptCount val="1"/>
                <c:pt idx="0">
                  <c:v>Operations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Pivot!$V$16:$V$18</c:f>
              <c:strCache>
                <c:ptCount val="2"/>
                <c:pt idx="0">
                  <c:v>Female</c:v>
                </c:pt>
                <c:pt idx="1">
                  <c:v>Male</c:v>
                </c:pt>
              </c:strCache>
            </c:strRef>
          </c:cat>
          <c:val>
            <c:numRef>
              <c:f>Pivot!$AA$16:$AA$18</c:f>
              <c:numCache>
                <c:formatCode>_ "₹"\ * #,##0_ ;_ "₹"\ * \-#,##0_ ;_ "₹"\ * "-"??_ ;_ @_ </c:formatCode>
                <c:ptCount val="2"/>
                <c:pt idx="0">
                  <c:v>93000</c:v>
                </c:pt>
                <c:pt idx="1">
                  <c:v>126368.42105263157</c:v>
                </c:pt>
              </c:numCache>
            </c:numRef>
          </c:val>
          <c:extLst>
            <c:ext xmlns:c16="http://schemas.microsoft.com/office/drawing/2014/chart" uri="{C3380CC4-5D6E-409C-BE32-E72D297353CC}">
              <c16:uniqueId val="{0000003B-AA81-4FFA-BBEB-ADDA055B2DE7}"/>
            </c:ext>
          </c:extLst>
        </c:ser>
        <c:ser>
          <c:idx val="5"/>
          <c:order val="5"/>
          <c:tx>
            <c:strRef>
              <c:f>Pivot!$AB$14:$AB$15</c:f>
              <c:strCache>
                <c:ptCount val="1"/>
                <c:pt idx="0">
                  <c:v>Sales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Pivot!$V$16:$V$18</c:f>
              <c:strCache>
                <c:ptCount val="2"/>
                <c:pt idx="0">
                  <c:v>Female</c:v>
                </c:pt>
                <c:pt idx="1">
                  <c:v>Male</c:v>
                </c:pt>
              </c:strCache>
            </c:strRef>
          </c:cat>
          <c:val>
            <c:numRef>
              <c:f>Pivot!$AB$16:$AB$18</c:f>
              <c:numCache>
                <c:formatCode>_ "₹"\ * #,##0_ ;_ "₹"\ * \-#,##0_ ;_ "₹"\ * "-"??_ ;_ @_ </c:formatCode>
                <c:ptCount val="2"/>
                <c:pt idx="0">
                  <c:v>63458.333333333336</c:v>
                </c:pt>
                <c:pt idx="1">
                  <c:v>77200</c:v>
                </c:pt>
              </c:numCache>
            </c:numRef>
          </c:val>
          <c:extLst>
            <c:ext xmlns:c16="http://schemas.microsoft.com/office/drawing/2014/chart" uri="{C3380CC4-5D6E-409C-BE32-E72D297353CC}">
              <c16:uniqueId val="{0000003C-AA81-4FFA-BBEB-ADDA055B2DE7}"/>
            </c:ext>
          </c:extLst>
        </c:ser>
        <c:dLbls>
          <c:dLblPos val="ctr"/>
          <c:showLegendKey val="0"/>
          <c:showVal val="1"/>
          <c:showCatName val="0"/>
          <c:showSerName val="0"/>
          <c:showPercent val="0"/>
          <c:showBubbleSize val="0"/>
        </c:dLbls>
        <c:gapWidth val="150"/>
        <c:overlap val="100"/>
        <c:axId val="1299915648"/>
        <c:axId val="1299912288"/>
      </c:barChart>
      <c:catAx>
        <c:axId val="129991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912288"/>
        <c:crosses val="autoZero"/>
        <c:auto val="1"/>
        <c:lblAlgn val="ctr"/>
        <c:lblOffset val="100"/>
        <c:noMultiLvlLbl val="0"/>
      </c:catAx>
      <c:valAx>
        <c:axId val="1299912288"/>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91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[HR_Dashboard.xlsx]Pivot!kpi3_1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solidFill>
                  <a:schemeClr val="tx1">
                    <a:lumMod val="95000"/>
                    <a:lumOff val="5000"/>
                  </a:schemeClr>
                </a:solidFill>
              </a:rPr>
              <a:t>PERFORMANCE RATINGS </a:t>
            </a:r>
            <a:r>
              <a:rPr lang="en-IN" sz="1400" b="1" baseline="0">
                <a:solidFill>
                  <a:schemeClr val="tx1">
                    <a:lumMod val="95000"/>
                    <a:lumOff val="5000"/>
                  </a:schemeClr>
                </a:solidFill>
              </a:rPr>
              <a:t>Vs</a:t>
            </a:r>
            <a:r>
              <a:rPr lang="en-IN" baseline="0"/>
              <a:t> </a:t>
            </a:r>
            <a:r>
              <a:rPr lang="en-IN" sz="1400" b="1" i="0" u="none" strike="noStrike" kern="1200" spc="0" baseline="0">
                <a:solidFill>
                  <a:schemeClr val="tx1">
                    <a:lumMod val="95000"/>
                    <a:lumOff val="5000"/>
                  </a:schemeClr>
                </a:solidFill>
                <a:latin typeface="+mn-lt"/>
                <a:ea typeface="+mn-ea"/>
                <a:cs typeface="+mn-cs"/>
              </a:rPr>
              <a:t>AVERAGE SALARY </a:t>
            </a:r>
            <a:r>
              <a:rPr lang="en-IN" baseline="0"/>
              <a:t>ACROSS DEPARTMENTS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48377581120944E-2"/>
          <c:y val="6.3841597430752309E-2"/>
          <c:w val="0.75273802057928596"/>
          <c:h val="0.87512005927497916"/>
        </c:manualLayout>
      </c:layout>
      <c:barChart>
        <c:barDir val="col"/>
        <c:grouping val="stacked"/>
        <c:varyColors val="0"/>
        <c:ser>
          <c:idx val="0"/>
          <c:order val="0"/>
          <c:tx>
            <c:strRef>
              <c:f>Pivot!$Y$67:$Y$68</c:f>
              <c:strCache>
                <c:ptCount val="1"/>
                <c:pt idx="0">
                  <c:v>Finance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Pivot!$X$69:$X$73</c:f>
              <c:strCache>
                <c:ptCount val="4"/>
                <c:pt idx="0">
                  <c:v>2</c:v>
                </c:pt>
                <c:pt idx="1">
                  <c:v>3</c:v>
                </c:pt>
                <c:pt idx="2">
                  <c:v>4</c:v>
                </c:pt>
                <c:pt idx="3">
                  <c:v>5</c:v>
                </c:pt>
              </c:strCache>
            </c:strRef>
          </c:cat>
          <c:val>
            <c:numRef>
              <c:f>Pivot!$Y$69:$Y$73</c:f>
              <c:numCache>
                <c:formatCode>_ "₹"\ * #,##0_ ;_ "₹"\ * \-#,##0_ ;_ "₹"\ * "-"??_ ;_ @_ </c:formatCode>
                <c:ptCount val="4"/>
                <c:pt idx="0">
                  <c:v>28000</c:v>
                </c:pt>
                <c:pt idx="1">
                  <c:v>42666.666666666664</c:v>
                </c:pt>
                <c:pt idx="2">
                  <c:v>81407.407407407401</c:v>
                </c:pt>
                <c:pt idx="3">
                  <c:v>118368.42105263157</c:v>
                </c:pt>
              </c:numCache>
            </c:numRef>
          </c:val>
          <c:extLst>
            <c:ext xmlns:c16="http://schemas.microsoft.com/office/drawing/2014/chart" uri="{C3380CC4-5D6E-409C-BE32-E72D297353CC}">
              <c16:uniqueId val="{00000000-639E-4965-8597-0C83F6DCEC01}"/>
            </c:ext>
          </c:extLst>
        </c:ser>
        <c:ser>
          <c:idx val="1"/>
          <c:order val="1"/>
          <c:tx>
            <c:strRef>
              <c:f>Pivot!$Z$67:$Z$68</c:f>
              <c:strCache>
                <c:ptCount val="1"/>
                <c:pt idx="0">
                  <c:v>HR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Pivot!$X$69:$X$73</c:f>
              <c:strCache>
                <c:ptCount val="4"/>
                <c:pt idx="0">
                  <c:v>2</c:v>
                </c:pt>
                <c:pt idx="1">
                  <c:v>3</c:v>
                </c:pt>
                <c:pt idx="2">
                  <c:v>4</c:v>
                </c:pt>
                <c:pt idx="3">
                  <c:v>5</c:v>
                </c:pt>
              </c:strCache>
            </c:strRef>
          </c:cat>
          <c:val>
            <c:numRef>
              <c:f>Pivot!$Z$69:$Z$73</c:f>
              <c:numCache>
                <c:formatCode>_ "₹"\ * #,##0_ ;_ "₹"\ * \-#,##0_ ;_ "₹"\ * "-"??_ ;_ @_ </c:formatCode>
                <c:ptCount val="4"/>
                <c:pt idx="0">
                  <c:v>25000</c:v>
                </c:pt>
                <c:pt idx="1">
                  <c:v>41736.84210526316</c:v>
                </c:pt>
                <c:pt idx="2">
                  <c:v>75294.117647058825</c:v>
                </c:pt>
                <c:pt idx="3">
                  <c:v>103750</c:v>
                </c:pt>
              </c:numCache>
            </c:numRef>
          </c:val>
          <c:extLst>
            <c:ext xmlns:c16="http://schemas.microsoft.com/office/drawing/2014/chart" uri="{C3380CC4-5D6E-409C-BE32-E72D297353CC}">
              <c16:uniqueId val="{00000038-8605-4DF0-AC32-0AA472DC5308}"/>
            </c:ext>
          </c:extLst>
        </c:ser>
        <c:ser>
          <c:idx val="2"/>
          <c:order val="2"/>
          <c:tx>
            <c:strRef>
              <c:f>Pivot!$AA$67:$AA$68</c:f>
              <c:strCache>
                <c:ptCount val="1"/>
                <c:pt idx="0">
                  <c:v>IT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Pivot!$X$69:$X$73</c:f>
              <c:strCache>
                <c:ptCount val="4"/>
                <c:pt idx="0">
                  <c:v>2</c:v>
                </c:pt>
                <c:pt idx="1">
                  <c:v>3</c:v>
                </c:pt>
                <c:pt idx="2">
                  <c:v>4</c:v>
                </c:pt>
                <c:pt idx="3">
                  <c:v>5</c:v>
                </c:pt>
              </c:strCache>
            </c:strRef>
          </c:cat>
          <c:val>
            <c:numRef>
              <c:f>Pivot!$AA$69:$AA$73</c:f>
              <c:numCache>
                <c:formatCode>_ "₹"\ * #,##0_ ;_ "₹"\ * \-#,##0_ ;_ "₹"\ * "-"??_ ;_ @_ </c:formatCode>
                <c:ptCount val="4"/>
                <c:pt idx="0">
                  <c:v>25333.333333333332</c:v>
                </c:pt>
                <c:pt idx="1">
                  <c:v>46538.461538461539</c:v>
                </c:pt>
                <c:pt idx="2">
                  <c:v>76068.965517241377</c:v>
                </c:pt>
                <c:pt idx="3">
                  <c:v>124666.66666666667</c:v>
                </c:pt>
              </c:numCache>
            </c:numRef>
          </c:val>
          <c:extLst>
            <c:ext xmlns:c16="http://schemas.microsoft.com/office/drawing/2014/chart" uri="{C3380CC4-5D6E-409C-BE32-E72D297353CC}">
              <c16:uniqueId val="{00000039-8605-4DF0-AC32-0AA472DC5308}"/>
            </c:ext>
          </c:extLst>
        </c:ser>
        <c:ser>
          <c:idx val="3"/>
          <c:order val="3"/>
          <c:tx>
            <c:strRef>
              <c:f>Pivot!$AB$67:$AB$68</c:f>
              <c:strCache>
                <c:ptCount val="1"/>
                <c:pt idx="0">
                  <c:v>Marketing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Pivot!$X$69:$X$73</c:f>
              <c:strCache>
                <c:ptCount val="4"/>
                <c:pt idx="0">
                  <c:v>2</c:v>
                </c:pt>
                <c:pt idx="1">
                  <c:v>3</c:v>
                </c:pt>
                <c:pt idx="2">
                  <c:v>4</c:v>
                </c:pt>
                <c:pt idx="3">
                  <c:v>5</c:v>
                </c:pt>
              </c:strCache>
            </c:strRef>
          </c:cat>
          <c:val>
            <c:numRef>
              <c:f>Pivot!$AB$69:$AB$73</c:f>
              <c:numCache>
                <c:formatCode>_ "₹"\ * #,##0_ ;_ "₹"\ * \-#,##0_ ;_ "₹"\ * "-"??_ ;_ @_ </c:formatCode>
                <c:ptCount val="4"/>
                <c:pt idx="0">
                  <c:v>24666.666666666668</c:v>
                </c:pt>
                <c:pt idx="1">
                  <c:v>52888.888888888891</c:v>
                </c:pt>
                <c:pt idx="2">
                  <c:v>79680</c:v>
                </c:pt>
                <c:pt idx="3">
                  <c:v>118666.66666666667</c:v>
                </c:pt>
              </c:numCache>
            </c:numRef>
          </c:val>
          <c:extLst>
            <c:ext xmlns:c16="http://schemas.microsoft.com/office/drawing/2014/chart" uri="{C3380CC4-5D6E-409C-BE32-E72D297353CC}">
              <c16:uniqueId val="{0000003A-8605-4DF0-AC32-0AA472DC5308}"/>
            </c:ext>
          </c:extLst>
        </c:ser>
        <c:ser>
          <c:idx val="4"/>
          <c:order val="4"/>
          <c:tx>
            <c:strRef>
              <c:f>Pivot!$AC$67:$AC$68</c:f>
              <c:strCache>
                <c:ptCount val="1"/>
                <c:pt idx="0">
                  <c:v>Operations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Pivot!$X$69:$X$73</c:f>
              <c:strCache>
                <c:ptCount val="4"/>
                <c:pt idx="0">
                  <c:v>2</c:v>
                </c:pt>
                <c:pt idx="1">
                  <c:v>3</c:v>
                </c:pt>
                <c:pt idx="2">
                  <c:v>4</c:v>
                </c:pt>
                <c:pt idx="3">
                  <c:v>5</c:v>
                </c:pt>
              </c:strCache>
            </c:strRef>
          </c:cat>
          <c:val>
            <c:numRef>
              <c:f>Pivot!$AC$69:$AC$73</c:f>
              <c:numCache>
                <c:formatCode>_ "₹"\ * #,##0_ ;_ "₹"\ * \-#,##0_ ;_ "₹"\ * "-"??_ ;_ @_ </c:formatCode>
                <c:ptCount val="4"/>
                <c:pt idx="2">
                  <c:v>81800</c:v>
                </c:pt>
                <c:pt idx="3">
                  <c:v>144285.71428571429</c:v>
                </c:pt>
              </c:numCache>
            </c:numRef>
          </c:val>
          <c:extLst>
            <c:ext xmlns:c16="http://schemas.microsoft.com/office/drawing/2014/chart" uri="{C3380CC4-5D6E-409C-BE32-E72D297353CC}">
              <c16:uniqueId val="{0000003B-8605-4DF0-AC32-0AA472DC5308}"/>
            </c:ext>
          </c:extLst>
        </c:ser>
        <c:ser>
          <c:idx val="5"/>
          <c:order val="5"/>
          <c:tx>
            <c:strRef>
              <c:f>Pivot!$AD$67:$AD$68</c:f>
              <c:strCache>
                <c:ptCount val="1"/>
                <c:pt idx="0">
                  <c:v>Sales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Pivot!$X$69:$X$73</c:f>
              <c:strCache>
                <c:ptCount val="4"/>
                <c:pt idx="0">
                  <c:v>2</c:v>
                </c:pt>
                <c:pt idx="1">
                  <c:v>3</c:v>
                </c:pt>
                <c:pt idx="2">
                  <c:v>4</c:v>
                </c:pt>
                <c:pt idx="3">
                  <c:v>5</c:v>
                </c:pt>
              </c:strCache>
            </c:strRef>
          </c:cat>
          <c:val>
            <c:numRef>
              <c:f>Pivot!$AD$69:$AD$73</c:f>
              <c:numCache>
                <c:formatCode>_ "₹"\ * #,##0_ ;_ "₹"\ * \-#,##0_ ;_ "₹"\ * "-"??_ ;_ @_ </c:formatCode>
                <c:ptCount val="4"/>
                <c:pt idx="0">
                  <c:v>29333.333333333332</c:v>
                </c:pt>
                <c:pt idx="1">
                  <c:v>48764.705882352944</c:v>
                </c:pt>
                <c:pt idx="2">
                  <c:v>75888.888888888891</c:v>
                </c:pt>
                <c:pt idx="3">
                  <c:v>106363.63636363637</c:v>
                </c:pt>
              </c:numCache>
            </c:numRef>
          </c:val>
          <c:extLst>
            <c:ext xmlns:c16="http://schemas.microsoft.com/office/drawing/2014/chart" uri="{C3380CC4-5D6E-409C-BE32-E72D297353CC}">
              <c16:uniqueId val="{0000003C-8605-4DF0-AC32-0AA472DC5308}"/>
            </c:ext>
          </c:extLst>
        </c:ser>
        <c:dLbls>
          <c:dLblPos val="ctr"/>
          <c:showLegendKey val="0"/>
          <c:showVal val="1"/>
          <c:showCatName val="0"/>
          <c:showSerName val="0"/>
          <c:showPercent val="0"/>
          <c:showBubbleSize val="0"/>
        </c:dLbls>
        <c:gapWidth val="150"/>
        <c:overlap val="100"/>
        <c:axId val="1808520560"/>
        <c:axId val="1808519120"/>
      </c:barChart>
      <c:catAx>
        <c:axId val="1808520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19120"/>
        <c:crossesAt val="0"/>
        <c:auto val="1"/>
        <c:lblAlgn val="ctr"/>
        <c:lblOffset val="100"/>
        <c:noMultiLvlLbl val="0"/>
      </c:catAx>
      <c:valAx>
        <c:axId val="1808519120"/>
        <c:scaling>
          <c:orientation val="minMax"/>
        </c:scaling>
        <c:delete val="1"/>
        <c:axPos val="l"/>
        <c:numFmt formatCode="_ &quot;₹&quot;\ * #,##0_ ;_ &quot;₹&quot;\ * \-#,##0_ ;_ &quot;₹&quot;\ * &quot;-&quot;??_ ;_ @_ " sourceLinked="1"/>
        <c:majorTickMark val="out"/>
        <c:minorTickMark val="none"/>
        <c:tickLblPos val="nextTo"/>
        <c:crossAx val="180852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[HR_Dashboard.xlsx]Pivot!kpi3_4</c:name>
    <c:fmtId val="15"/>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TOTAL</a:t>
            </a:r>
            <a:r>
              <a:rPr lang="en-US" sz="1400" baseline="0"/>
              <a:t> SALARY BY DEPT</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Pivot!$AD$75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Pivot!$AC$76:$AC$82</c:f>
              <c:strCache>
                <c:ptCount val="6"/>
                <c:pt idx="0">
                  <c:v>Finance</c:v>
                </c:pt>
                <c:pt idx="1">
                  <c:v>HR</c:v>
                </c:pt>
                <c:pt idx="2">
                  <c:v>IT</c:v>
                </c:pt>
                <c:pt idx="3">
                  <c:v>Marketing</c:v>
                </c:pt>
                <c:pt idx="4">
                  <c:v>Operations</c:v>
                </c:pt>
                <c:pt idx="5">
                  <c:v>Sales</c:v>
                </c:pt>
              </c:strCache>
            </c:strRef>
          </c:cat>
          <c:val>
            <c:numRef>
              <c:f>Pivot!$AD$76:$AD$82</c:f>
              <c:numCache>
                <c:formatCode>_ "₹"\ * #,##0_ ;_ "₹"\ * \-#,##0_ ;_ "₹"\ * "-"??_ ;_ @_ </c:formatCode>
                <c:ptCount val="6"/>
                <c:pt idx="0">
                  <c:v>4631000</c:v>
                </c:pt>
                <c:pt idx="1">
                  <c:v>3393000</c:v>
                </c:pt>
                <c:pt idx="2">
                  <c:v>4757000</c:v>
                </c:pt>
                <c:pt idx="3">
                  <c:v>3328000</c:v>
                </c:pt>
                <c:pt idx="4">
                  <c:v>5267000</c:v>
                </c:pt>
                <c:pt idx="5">
                  <c:v>3453000</c:v>
                </c:pt>
              </c:numCache>
            </c:numRef>
          </c:val>
          <c:extLst>
            <c:ext xmlns:c16="http://schemas.microsoft.com/office/drawing/2014/chart" uri="{C3380CC4-5D6E-409C-BE32-E72D297353CC}">
              <c16:uniqueId val="{00000000-E6AD-40ED-9A38-CFAAC39B333F}"/>
            </c:ext>
          </c:extLst>
        </c:ser>
        <c:dLbls>
          <c:dLblPos val="outEnd"/>
          <c:showLegendKey val="0"/>
          <c:showVal val="1"/>
          <c:showCatName val="0"/>
          <c:showSerName val="0"/>
          <c:showPercent val="0"/>
          <c:showBubbleSize val="0"/>
        </c:dLbls>
        <c:gapWidth val="100"/>
        <c:overlap val="-24"/>
        <c:axId val="1860059008"/>
        <c:axId val="1860059968"/>
      </c:barChart>
      <c:catAx>
        <c:axId val="18600590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60059968"/>
        <c:crosses val="autoZero"/>
        <c:auto val="1"/>
        <c:lblAlgn val="ctr"/>
        <c:lblOffset val="100"/>
        <c:noMultiLvlLbl val="0"/>
      </c:catAx>
      <c:valAx>
        <c:axId val="1860059968"/>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60059008"/>
        <c:crosses val="autoZero"/>
        <c:crossBetween val="between"/>
        <c:dispUnits>
          <c:builtInUnit val="hundredThousands"/>
          <c:dispUnitsLbl>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[HR_Dashboard.xlsx]Pivot!kpi4_1</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performance</a:t>
            </a:r>
            <a:r>
              <a:rPr lang="en-US" baseline="0"/>
              <a:t> trend by joining year</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Pivot!$AQ$5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Pivot!$AP$6:$AP$12</c:f>
              <c:strCache>
                <c:ptCount val="6"/>
                <c:pt idx="0">
                  <c:v>1996-2000</c:v>
                </c:pt>
                <c:pt idx="1">
                  <c:v>2001-2005</c:v>
                </c:pt>
                <c:pt idx="2">
                  <c:v>2006-2010</c:v>
                </c:pt>
                <c:pt idx="3">
                  <c:v>2011-2015</c:v>
                </c:pt>
                <c:pt idx="4">
                  <c:v>2016-2020</c:v>
                </c:pt>
                <c:pt idx="5">
                  <c:v>2021-2025</c:v>
                </c:pt>
              </c:strCache>
            </c:strRef>
          </c:cat>
          <c:val>
            <c:numRef>
              <c:f>Pivot!$AQ$6:$AQ$12</c:f>
              <c:numCache>
                <c:formatCode>0.0</c:formatCode>
                <c:ptCount val="6"/>
                <c:pt idx="0">
                  <c:v>5</c:v>
                </c:pt>
                <c:pt idx="1">
                  <c:v>5</c:v>
                </c:pt>
                <c:pt idx="2">
                  <c:v>4.7068965517241379</c:v>
                </c:pt>
                <c:pt idx="3">
                  <c:v>4.125</c:v>
                </c:pt>
                <c:pt idx="4">
                  <c:v>3.704225352112676</c:v>
                </c:pt>
                <c:pt idx="5">
                  <c:v>2.7241379310344827</c:v>
                </c:pt>
              </c:numCache>
            </c:numRef>
          </c:val>
          <c:extLst>
            <c:ext xmlns:c16="http://schemas.microsoft.com/office/drawing/2014/chart" uri="{C3380CC4-5D6E-409C-BE32-E72D297353CC}">
              <c16:uniqueId val="{00000000-717A-4B43-8D51-66C1814C659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60058528"/>
        <c:axId val="1860051328"/>
      </c:areaChart>
      <c:catAx>
        <c:axId val="1860058528"/>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60051328"/>
        <c:crosses val="autoZero"/>
        <c:auto val="1"/>
        <c:lblAlgn val="ctr"/>
        <c:lblOffset val="100"/>
        <c:noMultiLvlLbl val="0"/>
      </c:catAx>
      <c:valAx>
        <c:axId val="1860051328"/>
        <c:scaling>
          <c:orientation val="minMax"/>
        </c:scaling>
        <c:delete val="1"/>
        <c:axPos val="l"/>
        <c:numFmt formatCode="0.0" sourceLinked="1"/>
        <c:majorTickMark val="out"/>
        <c:minorTickMark val="none"/>
        <c:tickLblPos val="nextTo"/>
        <c:crossAx val="18600585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[HR_Dashboard.xlsx]Pivot!kpi4_2</c:name>
    <c:fmtId val="3"/>
  </c:pivotSource>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t>AVG</a:t>
            </a:r>
            <a:r>
              <a:rPr lang="en-US" sz="1400" baseline="0"/>
              <a:t> PERFORMANCE RATING BY DEPT</a:t>
            </a:r>
            <a:endParaRPr lang="en-US" sz="1400"/>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Pivot!$AH$3</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Pivot!$AG$4:$AG$10</c:f>
              <c:strCache>
                <c:ptCount val="6"/>
                <c:pt idx="0">
                  <c:v>Finance</c:v>
                </c:pt>
                <c:pt idx="1">
                  <c:v>HR</c:v>
                </c:pt>
                <c:pt idx="2">
                  <c:v>IT</c:v>
                </c:pt>
                <c:pt idx="3">
                  <c:v>Marketing</c:v>
                </c:pt>
                <c:pt idx="4">
                  <c:v>Operations</c:v>
                </c:pt>
                <c:pt idx="5">
                  <c:v>Sales</c:v>
                </c:pt>
              </c:strCache>
            </c:strRef>
          </c:cat>
          <c:val>
            <c:numRef>
              <c:f>Pivot!$AH$4:$AH$10</c:f>
              <c:numCache>
                <c:formatCode>0.0</c:formatCode>
                <c:ptCount val="6"/>
                <c:pt idx="0">
                  <c:v>4.2352941176470589</c:v>
                </c:pt>
                <c:pt idx="1">
                  <c:v>3.7450980392156863</c:v>
                </c:pt>
                <c:pt idx="2">
                  <c:v>3.9333333333333331</c:v>
                </c:pt>
                <c:pt idx="3">
                  <c:v>3.6739130434782608</c:v>
                </c:pt>
                <c:pt idx="4">
                  <c:v>4.6511627906976747</c:v>
                </c:pt>
                <c:pt idx="5">
                  <c:v>3.7551020408163267</c:v>
                </c:pt>
              </c:numCache>
            </c:numRef>
          </c:val>
          <c:extLst>
            <c:ext xmlns:c16="http://schemas.microsoft.com/office/drawing/2014/chart" uri="{C3380CC4-5D6E-409C-BE32-E72D297353CC}">
              <c16:uniqueId val="{00000000-2B0D-49B8-BA3E-3E386FFEA0A7}"/>
            </c:ext>
          </c:extLst>
        </c:ser>
        <c:dLbls>
          <c:dLblPos val="outEnd"/>
          <c:showLegendKey val="0"/>
          <c:showVal val="1"/>
          <c:showCatName val="0"/>
          <c:showSerName val="0"/>
          <c:showPercent val="0"/>
          <c:showBubbleSize val="0"/>
        </c:dLbls>
        <c:gapWidth val="444"/>
        <c:overlap val="-90"/>
        <c:axId val="1869252864"/>
        <c:axId val="1869240864"/>
      </c:barChart>
      <c:catAx>
        <c:axId val="1869252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69240864"/>
        <c:crosses val="autoZero"/>
        <c:auto val="1"/>
        <c:lblAlgn val="ctr"/>
        <c:lblOffset val="100"/>
        <c:noMultiLvlLbl val="0"/>
      </c:catAx>
      <c:valAx>
        <c:axId val="1869240864"/>
        <c:scaling>
          <c:orientation val="minMax"/>
        </c:scaling>
        <c:delete val="1"/>
        <c:axPos val="l"/>
        <c:numFmt formatCode="0.0" sourceLinked="1"/>
        <c:majorTickMark val="none"/>
        <c:minorTickMark val="none"/>
        <c:tickLblPos val="nextTo"/>
        <c:crossAx val="186925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[HR_Dashboard.xlsx]Pivot!kpi4_3</c:name>
    <c:fmtId val="3"/>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IN" sz="1400"/>
              <a:t>WORK</a:t>
            </a:r>
            <a:r>
              <a:rPr lang="en-IN" sz="1400" baseline="0"/>
              <a:t> LOCATION VS DEPARTMENT</a:t>
            </a:r>
            <a:endParaRPr lang="en-IN"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IN"/>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Pivot!$AH$14:$AH$15</c:f>
              <c:strCache>
                <c:ptCount val="1"/>
                <c:pt idx="0">
                  <c:v>Finance</c:v>
                </c:pt>
              </c:strCache>
            </c:strRef>
          </c:tx>
          <c:spPr>
            <a:gradFill rotWithShape="1">
              <a:gsLst>
                <a:gs pos="0">
                  <a:schemeClr val="accent6">
                    <a:tint val="50000"/>
                    <a:satMod val="103000"/>
                    <a:lumMod val="102000"/>
                    <a:tint val="94000"/>
                  </a:schemeClr>
                </a:gs>
                <a:gs pos="50000">
                  <a:schemeClr val="accent6">
                    <a:tint val="50000"/>
                    <a:satMod val="110000"/>
                    <a:lumMod val="100000"/>
                    <a:shade val="100000"/>
                  </a:schemeClr>
                </a:gs>
                <a:gs pos="100000">
                  <a:schemeClr val="accent6">
                    <a:tint val="5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Pivot!$AG$16:$AG$22</c:f>
              <c:strCache>
                <c:ptCount val="6"/>
                <c:pt idx="0">
                  <c:v>Bangalore</c:v>
                </c:pt>
                <c:pt idx="1">
                  <c:v>Chennai</c:v>
                </c:pt>
                <c:pt idx="2">
                  <c:v>Delhi</c:v>
                </c:pt>
                <c:pt idx="3">
                  <c:v>Hyderabad</c:v>
                </c:pt>
                <c:pt idx="4">
                  <c:v>Mumbai</c:v>
                </c:pt>
                <c:pt idx="5">
                  <c:v>Pune</c:v>
                </c:pt>
              </c:strCache>
            </c:strRef>
          </c:cat>
          <c:val>
            <c:numRef>
              <c:f>Pivot!$AH$16:$AH$22</c:f>
              <c:numCache>
                <c:formatCode>0.0</c:formatCode>
                <c:ptCount val="6"/>
                <c:pt idx="0">
                  <c:v>4.166666666666667</c:v>
                </c:pt>
                <c:pt idx="1">
                  <c:v>4.75</c:v>
                </c:pt>
                <c:pt idx="2">
                  <c:v>4.4000000000000004</c:v>
                </c:pt>
                <c:pt idx="3">
                  <c:v>4.166666666666667</c:v>
                </c:pt>
                <c:pt idx="4">
                  <c:v>4.4545454545454541</c:v>
                </c:pt>
                <c:pt idx="5">
                  <c:v>3.5555555555555554</c:v>
                </c:pt>
              </c:numCache>
            </c:numRef>
          </c:val>
          <c:extLst>
            <c:ext xmlns:c16="http://schemas.microsoft.com/office/drawing/2014/chart" uri="{C3380CC4-5D6E-409C-BE32-E72D297353CC}">
              <c16:uniqueId val="{00000000-25C2-4D7A-9570-B913F2841DBA}"/>
            </c:ext>
          </c:extLst>
        </c:ser>
        <c:ser>
          <c:idx val="1"/>
          <c:order val="1"/>
          <c:tx>
            <c:strRef>
              <c:f>Pivot!$AI$14:$AI$15</c:f>
              <c:strCache>
                <c:ptCount val="1"/>
                <c:pt idx="0">
                  <c:v>HR</c:v>
                </c:pt>
              </c:strCache>
            </c:strRef>
          </c:tx>
          <c:spPr>
            <a:gradFill rotWithShape="1">
              <a:gsLst>
                <a:gs pos="0">
                  <a:schemeClr val="accent6">
                    <a:tint val="70000"/>
                    <a:satMod val="103000"/>
                    <a:lumMod val="102000"/>
                    <a:tint val="94000"/>
                  </a:schemeClr>
                </a:gs>
                <a:gs pos="50000">
                  <a:schemeClr val="accent6">
                    <a:tint val="70000"/>
                    <a:satMod val="110000"/>
                    <a:lumMod val="100000"/>
                    <a:shade val="100000"/>
                  </a:schemeClr>
                </a:gs>
                <a:gs pos="100000">
                  <a:schemeClr val="accent6">
                    <a:tint val="7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Pivot!$AG$16:$AG$22</c:f>
              <c:strCache>
                <c:ptCount val="6"/>
                <c:pt idx="0">
                  <c:v>Bangalore</c:v>
                </c:pt>
                <c:pt idx="1">
                  <c:v>Chennai</c:v>
                </c:pt>
                <c:pt idx="2">
                  <c:v>Delhi</c:v>
                </c:pt>
                <c:pt idx="3">
                  <c:v>Hyderabad</c:v>
                </c:pt>
                <c:pt idx="4">
                  <c:v>Mumbai</c:v>
                </c:pt>
                <c:pt idx="5">
                  <c:v>Pune</c:v>
                </c:pt>
              </c:strCache>
            </c:strRef>
          </c:cat>
          <c:val>
            <c:numRef>
              <c:f>Pivot!$AI$16:$AI$22</c:f>
              <c:numCache>
                <c:formatCode>0.0</c:formatCode>
                <c:ptCount val="6"/>
                <c:pt idx="0">
                  <c:v>4</c:v>
                </c:pt>
                <c:pt idx="1">
                  <c:v>4.125</c:v>
                </c:pt>
                <c:pt idx="2">
                  <c:v>3.1111111111111112</c:v>
                </c:pt>
                <c:pt idx="3">
                  <c:v>3.7142857142857144</c:v>
                </c:pt>
                <c:pt idx="4">
                  <c:v>4.5999999999999996</c:v>
                </c:pt>
                <c:pt idx="5">
                  <c:v>3.0909090909090908</c:v>
                </c:pt>
              </c:numCache>
            </c:numRef>
          </c:val>
          <c:extLst>
            <c:ext xmlns:c16="http://schemas.microsoft.com/office/drawing/2014/chart" uri="{C3380CC4-5D6E-409C-BE32-E72D297353CC}">
              <c16:uniqueId val="{00000029-839A-40F6-BB6D-CB8417A225D0}"/>
            </c:ext>
          </c:extLst>
        </c:ser>
        <c:ser>
          <c:idx val="2"/>
          <c:order val="2"/>
          <c:tx>
            <c:strRef>
              <c:f>Pivot!$AJ$14:$AJ$15</c:f>
              <c:strCache>
                <c:ptCount val="1"/>
                <c:pt idx="0">
                  <c:v>IT</c:v>
                </c:pt>
              </c:strCache>
            </c:strRef>
          </c:tx>
          <c:spPr>
            <a:gradFill rotWithShape="1">
              <a:gsLst>
                <a:gs pos="0">
                  <a:schemeClr val="accent6">
                    <a:tint val="90000"/>
                    <a:satMod val="103000"/>
                    <a:lumMod val="102000"/>
                    <a:tint val="94000"/>
                  </a:schemeClr>
                </a:gs>
                <a:gs pos="50000">
                  <a:schemeClr val="accent6">
                    <a:tint val="90000"/>
                    <a:satMod val="110000"/>
                    <a:lumMod val="100000"/>
                    <a:shade val="100000"/>
                  </a:schemeClr>
                </a:gs>
                <a:gs pos="100000">
                  <a:schemeClr val="accent6">
                    <a:tint val="9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Pivot!$AG$16:$AG$22</c:f>
              <c:strCache>
                <c:ptCount val="6"/>
                <c:pt idx="0">
                  <c:v>Bangalore</c:v>
                </c:pt>
                <c:pt idx="1">
                  <c:v>Chennai</c:v>
                </c:pt>
                <c:pt idx="2">
                  <c:v>Delhi</c:v>
                </c:pt>
                <c:pt idx="3">
                  <c:v>Hyderabad</c:v>
                </c:pt>
                <c:pt idx="4">
                  <c:v>Mumbai</c:v>
                </c:pt>
                <c:pt idx="5">
                  <c:v>Pune</c:v>
                </c:pt>
              </c:strCache>
            </c:strRef>
          </c:cat>
          <c:val>
            <c:numRef>
              <c:f>Pivot!$AJ$16:$AJ$22</c:f>
              <c:numCache>
                <c:formatCode>0.0</c:formatCode>
                <c:ptCount val="6"/>
                <c:pt idx="0">
                  <c:v>3.7222222222222223</c:v>
                </c:pt>
                <c:pt idx="1">
                  <c:v>4.625</c:v>
                </c:pt>
                <c:pt idx="2">
                  <c:v>3.5</c:v>
                </c:pt>
                <c:pt idx="3">
                  <c:v>3.6</c:v>
                </c:pt>
                <c:pt idx="4">
                  <c:v>4.625</c:v>
                </c:pt>
                <c:pt idx="5">
                  <c:v>3.7777777777777777</c:v>
                </c:pt>
              </c:numCache>
            </c:numRef>
          </c:val>
          <c:extLst>
            <c:ext xmlns:c16="http://schemas.microsoft.com/office/drawing/2014/chart" uri="{C3380CC4-5D6E-409C-BE32-E72D297353CC}">
              <c16:uniqueId val="{0000002A-839A-40F6-BB6D-CB8417A225D0}"/>
            </c:ext>
          </c:extLst>
        </c:ser>
        <c:ser>
          <c:idx val="3"/>
          <c:order val="3"/>
          <c:tx>
            <c:strRef>
              <c:f>Pivot!$AK$14:$AK$15</c:f>
              <c:strCache>
                <c:ptCount val="1"/>
                <c:pt idx="0">
                  <c:v>Marketing</c:v>
                </c:pt>
              </c:strCache>
            </c:strRef>
          </c:tx>
          <c:spPr>
            <a:gradFill rotWithShape="1">
              <a:gsLst>
                <a:gs pos="0">
                  <a:schemeClr val="accent6">
                    <a:shade val="90000"/>
                    <a:satMod val="103000"/>
                    <a:lumMod val="102000"/>
                    <a:tint val="94000"/>
                  </a:schemeClr>
                </a:gs>
                <a:gs pos="50000">
                  <a:schemeClr val="accent6">
                    <a:shade val="90000"/>
                    <a:satMod val="110000"/>
                    <a:lumMod val="100000"/>
                    <a:shade val="100000"/>
                  </a:schemeClr>
                </a:gs>
                <a:gs pos="100000">
                  <a:schemeClr val="accent6">
                    <a:shade val="9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Pivot!$AG$16:$AG$22</c:f>
              <c:strCache>
                <c:ptCount val="6"/>
                <c:pt idx="0">
                  <c:v>Bangalore</c:v>
                </c:pt>
                <c:pt idx="1">
                  <c:v>Chennai</c:v>
                </c:pt>
                <c:pt idx="2">
                  <c:v>Delhi</c:v>
                </c:pt>
                <c:pt idx="3">
                  <c:v>Hyderabad</c:v>
                </c:pt>
                <c:pt idx="4">
                  <c:v>Mumbai</c:v>
                </c:pt>
                <c:pt idx="5">
                  <c:v>Pune</c:v>
                </c:pt>
              </c:strCache>
            </c:strRef>
          </c:cat>
          <c:val>
            <c:numRef>
              <c:f>Pivot!$AK$16:$AK$22</c:f>
              <c:numCache>
                <c:formatCode>0.0</c:formatCode>
                <c:ptCount val="6"/>
                <c:pt idx="0">
                  <c:v>3.5384615384615383</c:v>
                </c:pt>
                <c:pt idx="1">
                  <c:v>3</c:v>
                </c:pt>
                <c:pt idx="2">
                  <c:v>3.5555555555555554</c:v>
                </c:pt>
                <c:pt idx="3">
                  <c:v>3.3636363636363638</c:v>
                </c:pt>
                <c:pt idx="4">
                  <c:v>4.3636363636363633</c:v>
                </c:pt>
                <c:pt idx="5">
                  <c:v>3</c:v>
                </c:pt>
              </c:numCache>
            </c:numRef>
          </c:val>
          <c:extLst>
            <c:ext xmlns:c16="http://schemas.microsoft.com/office/drawing/2014/chart" uri="{C3380CC4-5D6E-409C-BE32-E72D297353CC}">
              <c16:uniqueId val="{0000002B-839A-40F6-BB6D-CB8417A225D0}"/>
            </c:ext>
          </c:extLst>
        </c:ser>
        <c:ser>
          <c:idx val="4"/>
          <c:order val="4"/>
          <c:tx>
            <c:strRef>
              <c:f>Pivot!$AL$14:$AL$15</c:f>
              <c:strCache>
                <c:ptCount val="1"/>
                <c:pt idx="0">
                  <c:v>Operations</c:v>
                </c:pt>
              </c:strCache>
            </c:strRef>
          </c:tx>
          <c:spPr>
            <a:gradFill rotWithShape="1">
              <a:gsLst>
                <a:gs pos="0">
                  <a:schemeClr val="accent6">
                    <a:shade val="70000"/>
                    <a:satMod val="103000"/>
                    <a:lumMod val="102000"/>
                    <a:tint val="94000"/>
                  </a:schemeClr>
                </a:gs>
                <a:gs pos="50000">
                  <a:schemeClr val="accent6">
                    <a:shade val="70000"/>
                    <a:satMod val="110000"/>
                    <a:lumMod val="100000"/>
                    <a:shade val="100000"/>
                  </a:schemeClr>
                </a:gs>
                <a:gs pos="100000">
                  <a:schemeClr val="accent6">
                    <a:shade val="7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Pivot!$AG$16:$AG$22</c:f>
              <c:strCache>
                <c:ptCount val="6"/>
                <c:pt idx="0">
                  <c:v>Bangalore</c:v>
                </c:pt>
                <c:pt idx="1">
                  <c:v>Chennai</c:v>
                </c:pt>
                <c:pt idx="2">
                  <c:v>Delhi</c:v>
                </c:pt>
                <c:pt idx="3">
                  <c:v>Hyderabad</c:v>
                </c:pt>
                <c:pt idx="4">
                  <c:v>Mumbai</c:v>
                </c:pt>
                <c:pt idx="5">
                  <c:v>Pune</c:v>
                </c:pt>
              </c:strCache>
            </c:strRef>
          </c:cat>
          <c:val>
            <c:numRef>
              <c:f>Pivot!$AL$16:$AL$22</c:f>
              <c:numCache>
                <c:formatCode>0.0</c:formatCode>
                <c:ptCount val="6"/>
                <c:pt idx="0">
                  <c:v>4.5384615384615383</c:v>
                </c:pt>
                <c:pt idx="1">
                  <c:v>4.8181818181818183</c:v>
                </c:pt>
                <c:pt idx="2">
                  <c:v>4.5</c:v>
                </c:pt>
                <c:pt idx="3">
                  <c:v>4.1428571428571432</c:v>
                </c:pt>
                <c:pt idx="4">
                  <c:v>5</c:v>
                </c:pt>
                <c:pt idx="5">
                  <c:v>5</c:v>
                </c:pt>
              </c:numCache>
            </c:numRef>
          </c:val>
          <c:extLst>
            <c:ext xmlns:c16="http://schemas.microsoft.com/office/drawing/2014/chart" uri="{C3380CC4-5D6E-409C-BE32-E72D297353CC}">
              <c16:uniqueId val="{0000002C-839A-40F6-BB6D-CB8417A225D0}"/>
            </c:ext>
          </c:extLst>
        </c:ser>
        <c:ser>
          <c:idx val="5"/>
          <c:order val="5"/>
          <c:tx>
            <c:strRef>
              <c:f>Pivot!$AM$14:$AM$15</c:f>
              <c:strCache>
                <c:ptCount val="1"/>
                <c:pt idx="0">
                  <c:v>Sales</c:v>
                </c:pt>
              </c:strCache>
            </c:strRef>
          </c:tx>
          <c:spPr>
            <a:gradFill rotWithShape="1">
              <a:gsLst>
                <a:gs pos="0">
                  <a:schemeClr val="accent6">
                    <a:shade val="50000"/>
                    <a:satMod val="103000"/>
                    <a:lumMod val="102000"/>
                    <a:tint val="94000"/>
                  </a:schemeClr>
                </a:gs>
                <a:gs pos="50000">
                  <a:schemeClr val="accent6">
                    <a:shade val="50000"/>
                    <a:satMod val="110000"/>
                    <a:lumMod val="100000"/>
                    <a:shade val="100000"/>
                  </a:schemeClr>
                </a:gs>
                <a:gs pos="100000">
                  <a:schemeClr val="accent6">
                    <a:shade val="5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Pivot!$AG$16:$AG$22</c:f>
              <c:strCache>
                <c:ptCount val="6"/>
                <c:pt idx="0">
                  <c:v>Bangalore</c:v>
                </c:pt>
                <c:pt idx="1">
                  <c:v>Chennai</c:v>
                </c:pt>
                <c:pt idx="2">
                  <c:v>Delhi</c:v>
                </c:pt>
                <c:pt idx="3">
                  <c:v>Hyderabad</c:v>
                </c:pt>
                <c:pt idx="4">
                  <c:v>Mumbai</c:v>
                </c:pt>
                <c:pt idx="5">
                  <c:v>Pune</c:v>
                </c:pt>
              </c:strCache>
            </c:strRef>
          </c:cat>
          <c:val>
            <c:numRef>
              <c:f>Pivot!$AM$16:$AM$22</c:f>
              <c:numCache>
                <c:formatCode>0.0</c:formatCode>
                <c:ptCount val="6"/>
                <c:pt idx="0">
                  <c:v>3.8</c:v>
                </c:pt>
                <c:pt idx="1">
                  <c:v>4.1818181818181817</c:v>
                </c:pt>
                <c:pt idx="2">
                  <c:v>3.5</c:v>
                </c:pt>
                <c:pt idx="3">
                  <c:v>3</c:v>
                </c:pt>
                <c:pt idx="4">
                  <c:v>4.8</c:v>
                </c:pt>
                <c:pt idx="5">
                  <c:v>3.1666666666666665</c:v>
                </c:pt>
              </c:numCache>
            </c:numRef>
          </c:val>
          <c:extLst>
            <c:ext xmlns:c16="http://schemas.microsoft.com/office/drawing/2014/chart" uri="{C3380CC4-5D6E-409C-BE32-E72D297353CC}">
              <c16:uniqueId val="{0000002D-839A-40F6-BB6D-CB8417A225D0}"/>
            </c:ext>
          </c:extLst>
        </c:ser>
        <c:dLbls>
          <c:dLblPos val="ctr"/>
          <c:showLegendKey val="0"/>
          <c:showVal val="1"/>
          <c:showCatName val="0"/>
          <c:showSerName val="0"/>
          <c:showPercent val="0"/>
          <c:showBubbleSize val="0"/>
        </c:dLbls>
        <c:gapWidth val="150"/>
        <c:overlap val="100"/>
        <c:axId val="1890461408"/>
        <c:axId val="1890462368"/>
      </c:barChart>
      <c:catAx>
        <c:axId val="18904614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90462368"/>
        <c:crosses val="autoZero"/>
        <c:auto val="1"/>
        <c:lblAlgn val="ctr"/>
        <c:lblOffset val="100"/>
        <c:noMultiLvlLbl val="0"/>
      </c:catAx>
      <c:valAx>
        <c:axId val="1890462368"/>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9046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[HR_Dashboard.xlsx]Pivot!kpi4_4</c:name>
    <c:fmtId val="3"/>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a:t>PERFORMANCE</a:t>
            </a:r>
            <a:r>
              <a:rPr lang="en-IN" sz="1400" baseline="0"/>
              <a:t> RATING BY GENDER</a:t>
            </a:r>
            <a:endParaRPr lang="en-IN"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070181444710712E-2"/>
          <c:y val="0.14573281452658887"/>
          <c:w val="0.78776819447693658"/>
          <c:h val="0.73432805335130769"/>
        </c:manualLayout>
      </c:layout>
      <c:barChart>
        <c:barDir val="col"/>
        <c:grouping val="stacked"/>
        <c:varyColors val="0"/>
        <c:ser>
          <c:idx val="0"/>
          <c:order val="0"/>
          <c:tx>
            <c:strRef>
              <c:f>Pivot!$AH$26:$AH$27</c:f>
              <c:strCache>
                <c:ptCount val="1"/>
                <c:pt idx="0">
                  <c:v>Female</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Pivot!$AG$28:$AG$32</c:f>
              <c:strCache>
                <c:ptCount val="4"/>
                <c:pt idx="0">
                  <c:v>2</c:v>
                </c:pt>
                <c:pt idx="1">
                  <c:v>3</c:v>
                </c:pt>
                <c:pt idx="2">
                  <c:v>4</c:v>
                </c:pt>
                <c:pt idx="3">
                  <c:v>5</c:v>
                </c:pt>
              </c:strCache>
            </c:strRef>
          </c:cat>
          <c:val>
            <c:numRef>
              <c:f>Pivot!$AH$28:$AH$32</c:f>
              <c:numCache>
                <c:formatCode>General</c:formatCode>
                <c:ptCount val="4"/>
                <c:pt idx="0">
                  <c:v>12</c:v>
                </c:pt>
                <c:pt idx="1">
                  <c:v>40</c:v>
                </c:pt>
                <c:pt idx="2">
                  <c:v>64</c:v>
                </c:pt>
                <c:pt idx="3">
                  <c:v>34</c:v>
                </c:pt>
              </c:numCache>
            </c:numRef>
          </c:val>
          <c:extLst>
            <c:ext xmlns:c16="http://schemas.microsoft.com/office/drawing/2014/chart" uri="{C3380CC4-5D6E-409C-BE32-E72D297353CC}">
              <c16:uniqueId val="{00000000-1AA8-46AF-A879-690A4DEF29EA}"/>
            </c:ext>
          </c:extLst>
        </c:ser>
        <c:ser>
          <c:idx val="1"/>
          <c:order val="1"/>
          <c:tx>
            <c:strRef>
              <c:f>Pivot!$AI$26:$AI$27</c:f>
              <c:strCache>
                <c:ptCount val="1"/>
                <c:pt idx="0">
                  <c:v>Male</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Pivot!$AG$28:$AG$32</c:f>
              <c:strCache>
                <c:ptCount val="4"/>
                <c:pt idx="0">
                  <c:v>2</c:v>
                </c:pt>
                <c:pt idx="1">
                  <c:v>3</c:v>
                </c:pt>
                <c:pt idx="2">
                  <c:v>4</c:v>
                </c:pt>
                <c:pt idx="3">
                  <c:v>5</c:v>
                </c:pt>
              </c:strCache>
            </c:strRef>
          </c:cat>
          <c:val>
            <c:numRef>
              <c:f>Pivot!$AI$28:$AI$32</c:f>
              <c:numCache>
                <c:formatCode>General</c:formatCode>
                <c:ptCount val="4"/>
                <c:pt idx="0">
                  <c:v>5</c:v>
                </c:pt>
                <c:pt idx="1">
                  <c:v>21</c:v>
                </c:pt>
                <c:pt idx="2">
                  <c:v>67</c:v>
                </c:pt>
                <c:pt idx="3">
                  <c:v>57</c:v>
                </c:pt>
              </c:numCache>
            </c:numRef>
          </c:val>
          <c:extLst>
            <c:ext xmlns:c16="http://schemas.microsoft.com/office/drawing/2014/chart" uri="{C3380CC4-5D6E-409C-BE32-E72D297353CC}">
              <c16:uniqueId val="{00000001-9E60-469B-A1A7-CC002F2C5429}"/>
            </c:ext>
          </c:extLst>
        </c:ser>
        <c:dLbls>
          <c:dLblPos val="ctr"/>
          <c:showLegendKey val="0"/>
          <c:showVal val="1"/>
          <c:showCatName val="0"/>
          <c:showSerName val="0"/>
          <c:showPercent val="0"/>
          <c:showBubbleSize val="0"/>
        </c:dLbls>
        <c:gapWidth val="150"/>
        <c:overlap val="100"/>
        <c:axId val="1804051344"/>
        <c:axId val="1804046064"/>
      </c:barChart>
      <c:catAx>
        <c:axId val="18040513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046064"/>
        <c:crosses val="autoZero"/>
        <c:auto val="1"/>
        <c:lblAlgn val="ctr"/>
        <c:lblOffset val="100"/>
        <c:noMultiLvlLbl val="0"/>
      </c:catAx>
      <c:valAx>
        <c:axId val="1804046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05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[HR_Dashboard.xlsx]Pivot!kpi5_1</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GENDER RATIO TREND OVER JOINING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Pivot!$T$46:$T$47</c:f>
              <c:strCache>
                <c:ptCount val="1"/>
                <c:pt idx="0">
                  <c:v>Female</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Pivot!$S$48:$S$53</c:f>
              <c:strCache>
                <c:ptCount val="6"/>
                <c:pt idx="0">
                  <c:v>1996-2000</c:v>
                </c:pt>
                <c:pt idx="1">
                  <c:v>2001-2005</c:v>
                </c:pt>
                <c:pt idx="2">
                  <c:v>2006-2010</c:v>
                </c:pt>
                <c:pt idx="3">
                  <c:v>2011-2015</c:v>
                </c:pt>
                <c:pt idx="4">
                  <c:v>2016-2020</c:v>
                </c:pt>
                <c:pt idx="5">
                  <c:v>2021-2025</c:v>
                </c:pt>
              </c:strCache>
            </c:strRef>
          </c:cat>
          <c:val>
            <c:numRef>
              <c:f>Pivot!$T$48:$T$53</c:f>
              <c:numCache>
                <c:formatCode>0%</c:formatCode>
                <c:ptCount val="6"/>
                <c:pt idx="0">
                  <c:v>0</c:v>
                </c:pt>
                <c:pt idx="1">
                  <c:v>0.34482758620689657</c:v>
                </c:pt>
                <c:pt idx="2">
                  <c:v>0.43103448275862066</c:v>
                </c:pt>
                <c:pt idx="3">
                  <c:v>0.52777777777777779</c:v>
                </c:pt>
                <c:pt idx="4">
                  <c:v>0.49295774647887325</c:v>
                </c:pt>
                <c:pt idx="5">
                  <c:v>0.72413793103448276</c:v>
                </c:pt>
              </c:numCache>
            </c:numRef>
          </c:val>
          <c:extLst>
            <c:ext xmlns:c16="http://schemas.microsoft.com/office/drawing/2014/chart" uri="{C3380CC4-5D6E-409C-BE32-E72D297353CC}">
              <c16:uniqueId val="{00000000-9695-4353-A85C-2FCDCA802F64}"/>
            </c:ext>
          </c:extLst>
        </c:ser>
        <c:ser>
          <c:idx val="1"/>
          <c:order val="1"/>
          <c:tx>
            <c:strRef>
              <c:f>Pivot!$U$46:$U$47</c:f>
              <c:strCache>
                <c:ptCount val="1"/>
                <c:pt idx="0">
                  <c:v>Male</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Pivot!$S$48:$S$53</c:f>
              <c:strCache>
                <c:ptCount val="6"/>
                <c:pt idx="0">
                  <c:v>1996-2000</c:v>
                </c:pt>
                <c:pt idx="1">
                  <c:v>2001-2005</c:v>
                </c:pt>
                <c:pt idx="2">
                  <c:v>2006-2010</c:v>
                </c:pt>
                <c:pt idx="3">
                  <c:v>2011-2015</c:v>
                </c:pt>
                <c:pt idx="4">
                  <c:v>2016-2020</c:v>
                </c:pt>
                <c:pt idx="5">
                  <c:v>2021-2025</c:v>
                </c:pt>
              </c:strCache>
            </c:strRef>
          </c:cat>
          <c:val>
            <c:numRef>
              <c:f>Pivot!$U$48:$U$53</c:f>
              <c:numCache>
                <c:formatCode>0%</c:formatCode>
                <c:ptCount val="6"/>
                <c:pt idx="0">
                  <c:v>1</c:v>
                </c:pt>
                <c:pt idx="1">
                  <c:v>0.65517241379310343</c:v>
                </c:pt>
                <c:pt idx="2">
                  <c:v>0.56896551724137934</c:v>
                </c:pt>
                <c:pt idx="3">
                  <c:v>0.47222222222222221</c:v>
                </c:pt>
                <c:pt idx="4">
                  <c:v>0.50704225352112675</c:v>
                </c:pt>
                <c:pt idx="5">
                  <c:v>0.27586206896551724</c:v>
                </c:pt>
              </c:numCache>
            </c:numRef>
          </c:val>
          <c:extLst>
            <c:ext xmlns:c16="http://schemas.microsoft.com/office/drawing/2014/chart" uri="{C3380CC4-5D6E-409C-BE32-E72D297353CC}">
              <c16:uniqueId val="{00000001-9D24-4FF9-8FBD-7D9F4CA911D4}"/>
            </c:ext>
          </c:extLst>
        </c:ser>
        <c:dLbls>
          <c:dLblPos val="ctr"/>
          <c:showLegendKey val="0"/>
          <c:showVal val="1"/>
          <c:showCatName val="0"/>
          <c:showSerName val="0"/>
          <c:showPercent val="0"/>
          <c:showBubbleSize val="0"/>
        </c:dLbls>
        <c:gapWidth val="150"/>
        <c:overlap val="100"/>
        <c:axId val="1860047488"/>
        <c:axId val="1860054688"/>
      </c:barChart>
      <c:catAx>
        <c:axId val="18600474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60054688"/>
        <c:crosses val="autoZero"/>
        <c:auto val="1"/>
        <c:lblAlgn val="ctr"/>
        <c:lblOffset val="100"/>
        <c:noMultiLvlLbl val="0"/>
      </c:catAx>
      <c:valAx>
        <c:axId val="18600546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6004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[HR_Dashboard.xlsx]Pivot!kpi5_3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GENDER</a:t>
            </a:r>
            <a:r>
              <a:rPr lang="en-IN" baseline="0"/>
              <a:t> DISTRIBUTION BY DEPT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Pivot!$T$35:$T$36</c:f>
              <c:strCache>
                <c:ptCount val="1"/>
                <c:pt idx="0">
                  <c:v>Female</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Pivot!$S$37:$S$42</c:f>
              <c:strCache>
                <c:ptCount val="6"/>
                <c:pt idx="0">
                  <c:v>Finance</c:v>
                </c:pt>
                <c:pt idx="1">
                  <c:v>HR</c:v>
                </c:pt>
                <c:pt idx="2">
                  <c:v>IT</c:v>
                </c:pt>
                <c:pt idx="3">
                  <c:v>Marketing</c:v>
                </c:pt>
                <c:pt idx="4">
                  <c:v>Operations</c:v>
                </c:pt>
                <c:pt idx="5">
                  <c:v>Sales</c:v>
                </c:pt>
              </c:strCache>
            </c:strRef>
          </c:cat>
          <c:val>
            <c:numRef>
              <c:f>Pivot!$T$37:$T$42</c:f>
              <c:numCache>
                <c:formatCode>0%</c:formatCode>
                <c:ptCount val="6"/>
                <c:pt idx="0">
                  <c:v>0.50980392156862742</c:v>
                </c:pt>
                <c:pt idx="1">
                  <c:v>0.98039215686274506</c:v>
                </c:pt>
                <c:pt idx="2">
                  <c:v>0.11666666666666667</c:v>
                </c:pt>
                <c:pt idx="3">
                  <c:v>0.82608695652173914</c:v>
                </c:pt>
                <c:pt idx="4">
                  <c:v>0.11627906976744186</c:v>
                </c:pt>
                <c:pt idx="5">
                  <c:v>0.48979591836734693</c:v>
                </c:pt>
              </c:numCache>
            </c:numRef>
          </c:val>
          <c:extLst>
            <c:ext xmlns:c16="http://schemas.microsoft.com/office/drawing/2014/chart" uri="{C3380CC4-5D6E-409C-BE32-E72D297353CC}">
              <c16:uniqueId val="{00000000-37B7-418D-9B68-D46017E22541}"/>
            </c:ext>
          </c:extLst>
        </c:ser>
        <c:ser>
          <c:idx val="1"/>
          <c:order val="1"/>
          <c:tx>
            <c:strRef>
              <c:f>Pivot!$U$35:$U$36</c:f>
              <c:strCache>
                <c:ptCount val="1"/>
                <c:pt idx="0">
                  <c:v>Male</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Pivot!$S$37:$S$42</c:f>
              <c:strCache>
                <c:ptCount val="6"/>
                <c:pt idx="0">
                  <c:v>Finance</c:v>
                </c:pt>
                <c:pt idx="1">
                  <c:v>HR</c:v>
                </c:pt>
                <c:pt idx="2">
                  <c:v>IT</c:v>
                </c:pt>
                <c:pt idx="3">
                  <c:v>Marketing</c:v>
                </c:pt>
                <c:pt idx="4">
                  <c:v>Operations</c:v>
                </c:pt>
                <c:pt idx="5">
                  <c:v>Sales</c:v>
                </c:pt>
              </c:strCache>
            </c:strRef>
          </c:cat>
          <c:val>
            <c:numRef>
              <c:f>Pivot!$U$37:$U$42</c:f>
              <c:numCache>
                <c:formatCode>0%</c:formatCode>
                <c:ptCount val="6"/>
                <c:pt idx="0">
                  <c:v>0.49019607843137253</c:v>
                </c:pt>
                <c:pt idx="1">
                  <c:v>1.9607843137254902E-2</c:v>
                </c:pt>
                <c:pt idx="2">
                  <c:v>0.8833333333333333</c:v>
                </c:pt>
                <c:pt idx="3">
                  <c:v>0.17391304347826086</c:v>
                </c:pt>
                <c:pt idx="4">
                  <c:v>0.88372093023255816</c:v>
                </c:pt>
                <c:pt idx="5">
                  <c:v>0.51020408163265307</c:v>
                </c:pt>
              </c:numCache>
            </c:numRef>
          </c:val>
          <c:extLst>
            <c:ext xmlns:c16="http://schemas.microsoft.com/office/drawing/2014/chart" uri="{C3380CC4-5D6E-409C-BE32-E72D297353CC}">
              <c16:uniqueId val="{00000001-15A2-4CE0-99D2-FE33E950B387}"/>
            </c:ext>
          </c:extLst>
        </c:ser>
        <c:dLbls>
          <c:dLblPos val="ctr"/>
          <c:showLegendKey val="0"/>
          <c:showVal val="1"/>
          <c:showCatName val="0"/>
          <c:showSerName val="0"/>
          <c:showPercent val="0"/>
          <c:showBubbleSize val="0"/>
        </c:dLbls>
        <c:gapWidth val="150"/>
        <c:overlap val="100"/>
        <c:axId val="1951998256"/>
        <c:axId val="1951992016"/>
      </c:barChart>
      <c:catAx>
        <c:axId val="1951998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992016"/>
        <c:crosses val="autoZero"/>
        <c:auto val="1"/>
        <c:lblAlgn val="ctr"/>
        <c:lblOffset val="100"/>
        <c:noMultiLvlLbl val="0"/>
      </c:catAx>
      <c:valAx>
        <c:axId val="19519920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99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[HR_Dashboard.xlsx]Pivot!kpi5_4</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a:t>GENDER</a:t>
            </a:r>
            <a:r>
              <a:rPr lang="en-IN" sz="1400" baseline="0"/>
              <a:t> DISTRIBUTION BY WORK LOCATION</a:t>
            </a:r>
            <a:endParaRPr lang="en-IN" sz="1400"/>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5">
                  <a:alpha val="0"/>
                </a:schemeClr>
              </a:gs>
              <a:gs pos="50000">
                <a:schemeClr val="accent5"/>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5">
                  <a:alpha val="0"/>
                </a:schemeClr>
              </a:gs>
              <a:gs pos="50000">
                <a:schemeClr val="accent5"/>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100000">
                <a:schemeClr val="accent5">
                  <a:alpha val="0"/>
                </a:schemeClr>
              </a:gs>
              <a:gs pos="50000">
                <a:schemeClr val="accent5"/>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Pivot!$Y$34:$Y$35</c:f>
              <c:strCache>
                <c:ptCount val="1"/>
                <c:pt idx="0">
                  <c:v>Female</c:v>
                </c:pt>
              </c:strCache>
            </c:strRef>
          </c:tx>
          <c:spPr>
            <a:gradFill>
              <a:gsLst>
                <a:gs pos="100000">
                  <a:schemeClr val="accent5">
                    <a:tint val="77000"/>
                    <a:alpha val="0"/>
                  </a:schemeClr>
                </a:gs>
                <a:gs pos="50000">
                  <a:schemeClr val="accent5">
                    <a:tint val="77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Pivot!$X$36:$X$41</c:f>
              <c:strCache>
                <c:ptCount val="6"/>
                <c:pt idx="0">
                  <c:v>Bangalore</c:v>
                </c:pt>
                <c:pt idx="1">
                  <c:v>Chennai</c:v>
                </c:pt>
                <c:pt idx="2">
                  <c:v>Delhi</c:v>
                </c:pt>
                <c:pt idx="3">
                  <c:v>Hyderabad</c:v>
                </c:pt>
                <c:pt idx="4">
                  <c:v>Mumbai</c:v>
                </c:pt>
                <c:pt idx="5">
                  <c:v>Pune</c:v>
                </c:pt>
              </c:strCache>
            </c:strRef>
          </c:cat>
          <c:val>
            <c:numRef>
              <c:f>Pivot!$Y$36:$Y$41</c:f>
              <c:numCache>
                <c:formatCode>0%</c:formatCode>
                <c:ptCount val="6"/>
                <c:pt idx="0">
                  <c:v>0.39393939393939392</c:v>
                </c:pt>
                <c:pt idx="1">
                  <c:v>0.44186046511627908</c:v>
                </c:pt>
                <c:pt idx="2">
                  <c:v>0.57446808510638303</c:v>
                </c:pt>
                <c:pt idx="3">
                  <c:v>0.55319148936170215</c:v>
                </c:pt>
                <c:pt idx="4">
                  <c:v>0.56862745098039214</c:v>
                </c:pt>
                <c:pt idx="5">
                  <c:v>0.5</c:v>
                </c:pt>
              </c:numCache>
            </c:numRef>
          </c:val>
          <c:extLst>
            <c:ext xmlns:c16="http://schemas.microsoft.com/office/drawing/2014/chart" uri="{C3380CC4-5D6E-409C-BE32-E72D297353CC}">
              <c16:uniqueId val="{00000000-C7AB-4A5B-9984-73A7C3CA7FD8}"/>
            </c:ext>
          </c:extLst>
        </c:ser>
        <c:ser>
          <c:idx val="1"/>
          <c:order val="1"/>
          <c:tx>
            <c:strRef>
              <c:f>Pivot!$Z$34:$Z$35</c:f>
              <c:strCache>
                <c:ptCount val="1"/>
                <c:pt idx="0">
                  <c:v>Male</c:v>
                </c:pt>
              </c:strCache>
            </c:strRef>
          </c:tx>
          <c:spPr>
            <a:gradFill>
              <a:gsLst>
                <a:gs pos="100000">
                  <a:schemeClr val="accent5">
                    <a:shade val="76000"/>
                    <a:alpha val="0"/>
                  </a:schemeClr>
                </a:gs>
                <a:gs pos="50000">
                  <a:schemeClr val="accent5">
                    <a:shade val="76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Pivot!$X$36:$X$41</c:f>
              <c:strCache>
                <c:ptCount val="6"/>
                <c:pt idx="0">
                  <c:v>Bangalore</c:v>
                </c:pt>
                <c:pt idx="1">
                  <c:v>Chennai</c:v>
                </c:pt>
                <c:pt idx="2">
                  <c:v>Delhi</c:v>
                </c:pt>
                <c:pt idx="3">
                  <c:v>Hyderabad</c:v>
                </c:pt>
                <c:pt idx="4">
                  <c:v>Mumbai</c:v>
                </c:pt>
                <c:pt idx="5">
                  <c:v>Pune</c:v>
                </c:pt>
              </c:strCache>
            </c:strRef>
          </c:cat>
          <c:val>
            <c:numRef>
              <c:f>Pivot!$Z$36:$Z$41</c:f>
              <c:numCache>
                <c:formatCode>0%</c:formatCode>
                <c:ptCount val="6"/>
                <c:pt idx="0">
                  <c:v>0.60606060606060608</c:v>
                </c:pt>
                <c:pt idx="1">
                  <c:v>0.55813953488372092</c:v>
                </c:pt>
                <c:pt idx="2">
                  <c:v>0.42553191489361702</c:v>
                </c:pt>
                <c:pt idx="3">
                  <c:v>0.44680851063829785</c:v>
                </c:pt>
                <c:pt idx="4">
                  <c:v>0.43137254901960786</c:v>
                </c:pt>
                <c:pt idx="5">
                  <c:v>0.5</c:v>
                </c:pt>
              </c:numCache>
            </c:numRef>
          </c:val>
          <c:extLst>
            <c:ext xmlns:c16="http://schemas.microsoft.com/office/drawing/2014/chart" uri="{C3380CC4-5D6E-409C-BE32-E72D297353CC}">
              <c16:uniqueId val="{00000001-FDB8-4AFE-8F28-4896D92DEA90}"/>
            </c:ext>
          </c:extLst>
        </c:ser>
        <c:dLbls>
          <c:showLegendKey val="0"/>
          <c:showVal val="1"/>
          <c:showCatName val="0"/>
          <c:showSerName val="0"/>
          <c:showPercent val="0"/>
          <c:showBubbleSize val="0"/>
        </c:dLbls>
        <c:gapWidth val="150"/>
        <c:gapDepth val="0"/>
        <c:shape val="box"/>
        <c:axId val="1952002096"/>
        <c:axId val="1952004496"/>
        <c:axId val="0"/>
      </c:bar3DChart>
      <c:catAx>
        <c:axId val="1952002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004496"/>
        <c:crosses val="autoZero"/>
        <c:auto val="1"/>
        <c:lblAlgn val="ctr"/>
        <c:lblOffset val="100"/>
        <c:noMultiLvlLbl val="0"/>
      </c:catAx>
      <c:valAx>
        <c:axId val="1952004496"/>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00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[HR_Dashboard.xlsx]Pivot!kpi5_2</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OVERALL</a:t>
            </a:r>
            <a:r>
              <a:rPr lang="en-US" b="1" baseline="0"/>
              <a:t> GENDER RATIO</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tint val="77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hade val="76000"/>
            </a:schemeClr>
          </a:solidFill>
          <a:ln w="19050">
            <a:solidFill>
              <a:schemeClr val="lt1"/>
            </a:solidFill>
          </a:ln>
          <a:effectLst/>
        </c:spPr>
      </c:pivotFmt>
      <c:pivotFmt>
        <c:idx val="1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tint val="77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hade val="76000"/>
            </a:schemeClr>
          </a:solidFill>
          <a:ln w="19050">
            <a:solidFill>
              <a:schemeClr val="lt1"/>
            </a:solidFill>
          </a:ln>
          <a:effectLst/>
        </c:spPr>
      </c:pivotFmt>
    </c:pivotFmts>
    <c:plotArea>
      <c:layout/>
      <c:pieChart>
        <c:varyColors val="1"/>
        <c:ser>
          <c:idx val="0"/>
          <c:order val="0"/>
          <c:tx>
            <c:strRef>
              <c:f>Pivot!$Y$47</c:f>
              <c:strCache>
                <c:ptCount val="1"/>
                <c:pt idx="0">
                  <c:v>Total</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1-A477-407A-8D71-F8A65E1DA5A4}"/>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A477-407A-8D71-F8A65E1DA5A4}"/>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1-A477-407A-8D71-F8A65E1DA5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Pivot!$X$48:$X$49</c:f>
              <c:strCache>
                <c:ptCount val="2"/>
                <c:pt idx="0">
                  <c:v>Female</c:v>
                </c:pt>
                <c:pt idx="1">
                  <c:v>Male</c:v>
                </c:pt>
              </c:strCache>
            </c:strRef>
          </c:cat>
          <c:val>
            <c:numRef>
              <c:f>Pivot!$Y$48:$Y$49</c:f>
              <c:numCache>
                <c:formatCode>0%</c:formatCode>
                <c:ptCount val="2"/>
                <c:pt idx="0">
                  <c:v>0.5</c:v>
                </c:pt>
                <c:pt idx="1">
                  <c:v>0.5</c:v>
                </c:pt>
              </c:numCache>
            </c:numRef>
          </c:val>
          <c:extLst>
            <c:ext xmlns:c16="http://schemas.microsoft.com/office/drawing/2014/chart" uri="{C3380CC4-5D6E-409C-BE32-E72D297353CC}">
              <c16:uniqueId val="{00000004-A477-407A-8D71-F8A65E1DA5A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1">
  <a:schemeClr val="accent1"/>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Reversed" id="26">
  <a:schemeClr val="accent6"/>
</cs:colorStyle>
</file>

<file path=xl/charts/colors21.xml><?xml version="1.0" encoding="utf-8"?>
<cs:colorStyle xmlns:cs="http://schemas.microsoft.com/office/drawing/2012/chartStyle" xmlns:a="http://schemas.openxmlformats.org/drawingml/2006/main" meth="withinLinearReversed" id="26">
  <a:schemeClr val="accent6"/>
</cs:colorStyle>
</file>

<file path=xl/charts/colors22.xml><?xml version="1.0" encoding="utf-8"?>
<cs:colorStyle xmlns:cs="http://schemas.microsoft.com/office/drawing/2012/chartStyle" xmlns:a="http://schemas.openxmlformats.org/drawingml/2006/main" meth="withinLinearReversed" id="26">
  <a:schemeClr val="accent6"/>
</cs:colorStyle>
</file>

<file path=xl/charts/colors23.xml><?xml version="1.0" encoding="utf-8"?>
<cs:colorStyle xmlns:cs="http://schemas.microsoft.com/office/drawing/2012/chartStyle" xmlns:a="http://schemas.openxmlformats.org/drawingml/2006/main" meth="withinLinearReversed" id="26">
  <a:schemeClr val="accent6"/>
</cs:colorStyle>
</file>

<file path=xl/charts/colors24.xml><?xml version="1.0" encoding="utf-8"?>
<cs:colorStyle xmlns:cs="http://schemas.microsoft.com/office/drawing/2012/chartStyle" xmlns:a="http://schemas.openxmlformats.org/drawingml/2006/main" meth="withinLinearReversed" id="25">
  <a:schemeClr val="accent5"/>
</cs:colorStyle>
</file>

<file path=xl/charts/colors25.xml><?xml version="1.0" encoding="utf-8"?>
<cs:colorStyle xmlns:cs="http://schemas.microsoft.com/office/drawing/2012/chartStyle" xmlns:a="http://schemas.openxmlformats.org/drawingml/2006/main" meth="withinLinearReversed" id="25">
  <a:schemeClr val="accent5"/>
</cs:colorStyle>
</file>

<file path=xl/charts/colors26.xml><?xml version="1.0" encoding="utf-8"?>
<cs:colorStyle xmlns:cs="http://schemas.microsoft.com/office/drawing/2012/chartStyle" xmlns:a="http://schemas.openxmlformats.org/drawingml/2006/main" meth="withinLinearReversed" id="25">
  <a:schemeClr val="accent5"/>
</cs:colorStyle>
</file>

<file path=xl/charts/colors27.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chart" Target="../charts/chart3.xml"/><Relationship Id="rId3" Type="http://schemas.openxmlformats.org/officeDocument/2006/relationships/hyperlink" Target="#Salary!A1"/><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chart" Target="../charts/chart2.xml"/><Relationship Id="rId2" Type="http://schemas.openxmlformats.org/officeDocument/2006/relationships/hyperlink" Target="#Attrition_rate!A1"/><Relationship Id="rId16" Type="http://schemas.openxmlformats.org/officeDocument/2006/relationships/chart" Target="../charts/chart1.xml"/><Relationship Id="rId20" Type="http://schemas.openxmlformats.org/officeDocument/2006/relationships/chart" Target="../charts/chart5.xml"/><Relationship Id="rId1" Type="http://schemas.openxmlformats.org/officeDocument/2006/relationships/hyperlink" Target="#Head_count!A1"/><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hyperlink" Target="#Diversity!A1"/><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chart" Target="../charts/chart4.xml"/><Relationship Id="rId4" Type="http://schemas.openxmlformats.org/officeDocument/2006/relationships/hyperlink" Target="#Performance!A1"/><Relationship Id="rId9" Type="http://schemas.openxmlformats.org/officeDocument/2006/relationships/image" Target="../media/image4.svg"/><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hyperlink" Target="#Main_Dashboard!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2.xml"/><Relationship Id="rId2" Type="http://schemas.openxmlformats.org/officeDocument/2006/relationships/image" Target="../media/image2.svg"/><Relationship Id="rId16" Type="http://schemas.openxmlformats.org/officeDocument/2006/relationships/hyperlink" Target="#Main_Dashboard!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chart" Target="../charts/chart1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6.xml"/><Relationship Id="rId5" Type="http://schemas.openxmlformats.org/officeDocument/2006/relationships/image" Target="../media/image5.png"/><Relationship Id="rId15" Type="http://schemas.openxmlformats.org/officeDocument/2006/relationships/hyperlink" Target="#Main_Dashboard!A1"/><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2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0.xml"/><Relationship Id="rId5" Type="http://schemas.openxmlformats.org/officeDocument/2006/relationships/image" Target="../media/image5.png"/><Relationship Id="rId15" Type="http://schemas.openxmlformats.org/officeDocument/2006/relationships/hyperlink" Target="#Main_Dashboard!A1"/><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3.xml"/></Relationships>
</file>

<file path=xl/drawings/_rels/drawing7.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2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4.xml"/><Relationship Id="rId5" Type="http://schemas.openxmlformats.org/officeDocument/2006/relationships/image" Target="../media/image5.png"/><Relationship Id="rId15" Type="http://schemas.openxmlformats.org/officeDocument/2006/relationships/hyperlink" Target="#Main_Dashboard!A1"/><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editAs="oneCell">
    <xdr:from>
      <xdr:col>8</xdr:col>
      <xdr:colOff>714375</xdr:colOff>
      <xdr:row>25</xdr:row>
      <xdr:rowOff>76200</xdr:rowOff>
    </xdr:from>
    <xdr:to>
      <xdr:col>11</xdr:col>
      <xdr:colOff>589201</xdr:colOff>
      <xdr:row>28</xdr:row>
      <xdr:rowOff>152700</xdr:rowOff>
    </xdr:to>
    <mc:AlternateContent xmlns:mc="http://schemas.openxmlformats.org/markup-compatibility/2006" xmlns:a14="http://schemas.microsoft.com/office/drawing/2010/main">
      <mc:Choice Requires="a14">
        <xdr:graphicFrame macro="">
          <xdr:nvGraphicFramePr>
            <xdr:cNvPr id="11" name="Gender 6">
              <a:extLst>
                <a:ext uri="{FF2B5EF4-FFF2-40B4-BE49-F238E27FC236}">
                  <a16:creationId xmlns:a16="http://schemas.microsoft.com/office/drawing/2014/main" id="{D97F73FE-0594-49E6-9D40-52194E1D60D5}"/>
                </a:ext>
              </a:extLst>
            </xdr:cNvPr>
            <xdr:cNvGraphicFramePr/>
          </xdr:nvGraphicFramePr>
          <xdr:xfrm>
            <a:off x="0" y="0"/>
            <a:ext cx="0" cy="0"/>
          </xdr:xfrm>
          <a:graphic>
            <a:graphicData uri="http://schemas.microsoft.com/office/drawing/2010/slicer">
              <sle:slicer xmlns:sle="http://schemas.microsoft.com/office/drawing/2010/slicer" name="Gender 6"/>
            </a:graphicData>
          </a:graphic>
        </xdr:graphicFrame>
      </mc:Choice>
      <mc:Fallback xmlns="">
        <xdr:sp macro="" textlink="">
          <xdr:nvSpPr>
            <xdr:cNvPr id="0" name=""/>
            <xdr:cNvSpPr>
              <a:spLocks noTextEdit="1"/>
            </xdr:cNvSpPr>
          </xdr:nvSpPr>
          <xdr:spPr>
            <a:xfrm>
              <a:off x="8201025" y="4838700"/>
              <a:ext cx="1856026"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1019175</xdr:colOff>
      <xdr:row>26</xdr:row>
      <xdr:rowOff>9524</xdr:rowOff>
    </xdr:from>
    <xdr:to>
      <xdr:col>16</xdr:col>
      <xdr:colOff>6075</xdr:colOff>
      <xdr:row>36</xdr:row>
      <xdr:rowOff>95249</xdr:rowOff>
    </xdr:to>
    <mc:AlternateContent xmlns:mc="http://schemas.openxmlformats.org/markup-compatibility/2006" xmlns:a14="http://schemas.microsoft.com/office/drawing/2010/main">
      <mc:Choice Requires="a14">
        <xdr:graphicFrame macro="">
          <xdr:nvGraphicFramePr>
            <xdr:cNvPr id="12" name="Department 6">
              <a:extLst>
                <a:ext uri="{FF2B5EF4-FFF2-40B4-BE49-F238E27FC236}">
                  <a16:creationId xmlns:a16="http://schemas.microsoft.com/office/drawing/2014/main" id="{B0812852-B142-4334-AA7E-0E779A225E93}"/>
                </a:ext>
              </a:extLst>
            </xdr:cNvPr>
            <xdr:cNvGraphicFramePr/>
          </xdr:nvGraphicFramePr>
          <xdr:xfrm>
            <a:off x="0" y="0"/>
            <a:ext cx="0" cy="0"/>
          </xdr:xfrm>
          <a:graphic>
            <a:graphicData uri="http://schemas.microsoft.com/office/drawing/2010/slicer">
              <sle:slicer xmlns:sle="http://schemas.microsoft.com/office/drawing/2010/slicer" name="Department 6"/>
            </a:graphicData>
          </a:graphic>
        </xdr:graphicFrame>
      </mc:Choice>
      <mc:Fallback xmlns="">
        <xdr:sp macro="" textlink="">
          <xdr:nvSpPr>
            <xdr:cNvPr id="0" name=""/>
            <xdr:cNvSpPr>
              <a:spLocks noTextEdit="1"/>
            </xdr:cNvSpPr>
          </xdr:nvSpPr>
          <xdr:spPr>
            <a:xfrm>
              <a:off x="12277725" y="4962524"/>
              <a:ext cx="1863450" cy="1990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885825</xdr:colOff>
      <xdr:row>24</xdr:row>
      <xdr:rowOff>85724</xdr:rowOff>
    </xdr:from>
    <xdr:to>
      <xdr:col>13</xdr:col>
      <xdr:colOff>951151</xdr:colOff>
      <xdr:row>27</xdr:row>
      <xdr:rowOff>126224</xdr:rowOff>
    </xdr:to>
    <mc:AlternateContent xmlns:mc="http://schemas.openxmlformats.org/markup-compatibility/2006" xmlns:a14="http://schemas.microsoft.com/office/drawing/2010/main">
      <mc:Choice Requires="a14">
        <xdr:graphicFrame macro="">
          <xdr:nvGraphicFramePr>
            <xdr:cNvPr id="13" name="Attrition 6">
              <a:extLst>
                <a:ext uri="{FF2B5EF4-FFF2-40B4-BE49-F238E27FC236}">
                  <a16:creationId xmlns:a16="http://schemas.microsoft.com/office/drawing/2014/main" id="{6A76964A-77D0-425C-B3C3-37FE9D49A50A}"/>
                </a:ext>
              </a:extLst>
            </xdr:cNvPr>
            <xdr:cNvGraphicFramePr/>
          </xdr:nvGraphicFramePr>
          <xdr:xfrm>
            <a:off x="0" y="0"/>
            <a:ext cx="0" cy="0"/>
          </xdr:xfrm>
          <a:graphic>
            <a:graphicData uri="http://schemas.microsoft.com/office/drawing/2010/slicer">
              <sle:slicer xmlns:sle="http://schemas.microsoft.com/office/drawing/2010/slicer" name="Attrition 6"/>
            </a:graphicData>
          </a:graphic>
        </xdr:graphicFrame>
      </mc:Choice>
      <mc:Fallback xmlns="">
        <xdr:sp macro="" textlink="">
          <xdr:nvSpPr>
            <xdr:cNvPr id="0" name=""/>
            <xdr:cNvSpPr>
              <a:spLocks noTextEdit="1"/>
            </xdr:cNvSpPr>
          </xdr:nvSpPr>
          <xdr:spPr>
            <a:xfrm>
              <a:off x="10353675" y="4657724"/>
              <a:ext cx="1856026"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771525</xdr:colOff>
      <xdr:row>28</xdr:row>
      <xdr:rowOff>171449</xdr:rowOff>
    </xdr:from>
    <xdr:to>
      <xdr:col>13</xdr:col>
      <xdr:colOff>844275</xdr:colOff>
      <xdr:row>38</xdr:row>
      <xdr:rowOff>152398</xdr:rowOff>
    </xdr:to>
    <mc:AlternateContent xmlns:mc="http://schemas.openxmlformats.org/markup-compatibility/2006" xmlns:a14="http://schemas.microsoft.com/office/drawing/2010/main">
      <mc:Choice Requires="a14">
        <xdr:graphicFrame macro="">
          <xdr:nvGraphicFramePr>
            <xdr:cNvPr id="14" name="WorkLocation 6">
              <a:extLst>
                <a:ext uri="{FF2B5EF4-FFF2-40B4-BE49-F238E27FC236}">
                  <a16:creationId xmlns:a16="http://schemas.microsoft.com/office/drawing/2014/main" id="{B5CA1F91-BE88-406C-9DA7-8409B60CEED9}"/>
                </a:ext>
              </a:extLst>
            </xdr:cNvPr>
            <xdr:cNvGraphicFramePr/>
          </xdr:nvGraphicFramePr>
          <xdr:xfrm>
            <a:off x="0" y="0"/>
            <a:ext cx="0" cy="0"/>
          </xdr:xfrm>
          <a:graphic>
            <a:graphicData uri="http://schemas.microsoft.com/office/drawing/2010/slicer">
              <sle:slicer xmlns:sle="http://schemas.microsoft.com/office/drawing/2010/slicer" name="WorkLocation 6"/>
            </a:graphicData>
          </a:graphic>
        </xdr:graphicFrame>
      </mc:Choice>
      <mc:Fallback xmlns="">
        <xdr:sp macro="" textlink="">
          <xdr:nvSpPr>
            <xdr:cNvPr id="0" name=""/>
            <xdr:cNvSpPr>
              <a:spLocks noTextEdit="1"/>
            </xdr:cNvSpPr>
          </xdr:nvSpPr>
          <xdr:spPr>
            <a:xfrm>
              <a:off x="10239375" y="5505449"/>
              <a:ext cx="1863450" cy="1885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57150</xdr:rowOff>
    </xdr:from>
    <xdr:to>
      <xdr:col>3</xdr:col>
      <xdr:colOff>400050</xdr:colOff>
      <xdr:row>4</xdr:row>
      <xdr:rowOff>57150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586CC884-C119-7050-D535-962E7761531E}"/>
            </a:ext>
          </a:extLst>
        </xdr:cNvPr>
        <xdr:cNvSpPr/>
      </xdr:nvSpPr>
      <xdr:spPr>
        <a:xfrm>
          <a:off x="47625" y="57150"/>
          <a:ext cx="2219325" cy="762000"/>
        </a:xfrm>
        <a:prstGeom prst="roundRect">
          <a:avLst/>
        </a:prstGeom>
        <a:solidFill>
          <a:srgbClr val="FF0000">
            <a:alpha val="92000"/>
          </a:srgbClr>
        </a:solidFill>
        <a:ln>
          <a:noFill/>
        </a:ln>
        <a:effectLst>
          <a:outerShdw blurRad="76200" dist="38100" dir="2700000" algn="tl" rotWithShape="0">
            <a:schemeClr val="bg1">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a:noFill/>
            </a:ln>
            <a:solidFill>
              <a:schemeClr val="tx1"/>
            </a:solidFill>
            <a:effectLst/>
          </a:endParaRPr>
        </a:p>
      </xdr:txBody>
    </xdr:sp>
    <xdr:clientData/>
  </xdr:twoCellAnchor>
  <xdr:twoCellAnchor>
    <xdr:from>
      <xdr:col>3</xdr:col>
      <xdr:colOff>438150</xdr:colOff>
      <xdr:row>0</xdr:row>
      <xdr:rowOff>57150</xdr:rowOff>
    </xdr:from>
    <xdr:to>
      <xdr:col>7</xdr:col>
      <xdr:colOff>180975</xdr:colOff>
      <xdr:row>4</xdr:row>
      <xdr:rowOff>57150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DCFD9A7F-4248-E952-C006-B0AAA914EAF1}"/>
            </a:ext>
          </a:extLst>
        </xdr:cNvPr>
        <xdr:cNvSpPr/>
      </xdr:nvSpPr>
      <xdr:spPr>
        <a:xfrm>
          <a:off x="2266950" y="57150"/>
          <a:ext cx="2181225" cy="762000"/>
        </a:xfrm>
        <a:prstGeom prst="roundRect">
          <a:avLst/>
        </a:prstGeom>
        <a:effectLst>
          <a:outerShdw blurRad="76200" dist="38100" dir="2700000" algn="tl" rotWithShape="0">
            <a:schemeClr val="bg1">
              <a:lumMod val="50000"/>
              <a:alpha val="40000"/>
            </a:scheme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219075</xdr:colOff>
      <xdr:row>0</xdr:row>
      <xdr:rowOff>57150</xdr:rowOff>
    </xdr:from>
    <xdr:to>
      <xdr:col>11</xdr:col>
      <xdr:colOff>47625</xdr:colOff>
      <xdr:row>4</xdr:row>
      <xdr:rowOff>57150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A6EEB14A-5421-13B8-4980-B5976689B6C5}"/>
            </a:ext>
          </a:extLst>
        </xdr:cNvPr>
        <xdr:cNvSpPr/>
      </xdr:nvSpPr>
      <xdr:spPr>
        <a:xfrm>
          <a:off x="4524375" y="57150"/>
          <a:ext cx="2266950" cy="762000"/>
        </a:xfrm>
        <a:prstGeom prst="roundRect">
          <a:avLst/>
        </a:prstGeom>
        <a:ln>
          <a:noFill/>
        </a:ln>
        <a:effectLst>
          <a:outerShdw blurRad="76200" dist="38100" dir="2700000" algn="tl" rotWithShape="0">
            <a:schemeClr val="bg1">
              <a:lumMod val="50000"/>
              <a:alpha val="40000"/>
            </a:scheme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85725</xdr:colOff>
      <xdr:row>0</xdr:row>
      <xdr:rowOff>57150</xdr:rowOff>
    </xdr:from>
    <xdr:to>
      <xdr:col>15</xdr:col>
      <xdr:colOff>19050</xdr:colOff>
      <xdr:row>4</xdr:row>
      <xdr:rowOff>57150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B6CE217A-A198-A390-4A07-D2839E506CBA}"/>
            </a:ext>
          </a:extLst>
        </xdr:cNvPr>
        <xdr:cNvSpPr/>
      </xdr:nvSpPr>
      <xdr:spPr>
        <a:xfrm>
          <a:off x="6829425" y="57150"/>
          <a:ext cx="2371725" cy="762000"/>
        </a:xfrm>
        <a:prstGeom prst="roundRect">
          <a:avLst/>
        </a:prstGeom>
        <a:ln>
          <a:noFill/>
        </a:ln>
        <a:effectLst>
          <a:outerShdw blurRad="76200" dist="38100" dir="2700000" algn="tl" rotWithShape="0">
            <a:schemeClr val="bg1">
              <a:lumMod val="50000"/>
              <a:alpha val="40000"/>
            </a:scheme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47625</xdr:colOff>
      <xdr:row>0</xdr:row>
      <xdr:rowOff>57150</xdr:rowOff>
    </xdr:from>
    <xdr:to>
      <xdr:col>18</xdr:col>
      <xdr:colOff>352424</xdr:colOff>
      <xdr:row>4</xdr:row>
      <xdr:rowOff>57150</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1016A76C-662E-7F17-82F8-DBB0727C4A23}"/>
            </a:ext>
          </a:extLst>
        </xdr:cNvPr>
        <xdr:cNvSpPr/>
      </xdr:nvSpPr>
      <xdr:spPr>
        <a:xfrm>
          <a:off x="9229725" y="57150"/>
          <a:ext cx="2133599" cy="762000"/>
        </a:xfrm>
        <a:prstGeom prst="roundRect">
          <a:avLst/>
        </a:prstGeom>
        <a:ln>
          <a:noFill/>
        </a:ln>
        <a:effectLst>
          <a:outerShdw blurRad="76200" dist="38100" dir="2700000" algn="tl" rotWithShape="0">
            <a:prstClr val="black">
              <a:alpha val="40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28575</xdr:colOff>
      <xdr:row>0</xdr:row>
      <xdr:rowOff>57149</xdr:rowOff>
    </xdr:from>
    <xdr:to>
      <xdr:col>3</xdr:col>
      <xdr:colOff>114300</xdr:colOff>
      <xdr:row>1</xdr:row>
      <xdr:rowOff>171450</xdr:rowOff>
    </xdr:to>
    <xdr:sp macro="" textlink="$A$6">
      <xdr:nvSpPr>
        <xdr:cNvPr id="8" name="TextBox 7">
          <a:extLst>
            <a:ext uri="{FF2B5EF4-FFF2-40B4-BE49-F238E27FC236}">
              <a16:creationId xmlns:a16="http://schemas.microsoft.com/office/drawing/2014/main" id="{E0529B3A-7634-382D-E981-9CEBF4340890}"/>
            </a:ext>
          </a:extLst>
        </xdr:cNvPr>
        <xdr:cNvSpPr txBox="1"/>
      </xdr:nvSpPr>
      <xdr:spPr>
        <a:xfrm>
          <a:off x="1285875" y="57149"/>
          <a:ext cx="69532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2FCAA9-9AFB-461E-A7A7-70A5D6B91F8C}" type="TxLink">
            <a:rPr lang="en-US" sz="1800" b="0" i="0" u="none" strike="noStrike">
              <a:solidFill>
                <a:schemeClr val="bg1"/>
              </a:solidFill>
              <a:latin typeface="Aptos Narrow"/>
            </a:rPr>
            <a:pPr/>
            <a:t>300</a:t>
          </a:fld>
          <a:endParaRPr lang="en-IN" sz="1800">
            <a:solidFill>
              <a:schemeClr val="bg1"/>
            </a:solidFill>
          </a:endParaRPr>
        </a:p>
      </xdr:txBody>
    </xdr:sp>
    <xdr:clientData/>
  </xdr:twoCellAnchor>
  <xdr:twoCellAnchor editAs="oneCell">
    <xdr:from>
      <xdr:col>0</xdr:col>
      <xdr:colOff>209551</xdr:colOff>
      <xdr:row>0</xdr:row>
      <xdr:rowOff>114302</xdr:rowOff>
    </xdr:from>
    <xdr:to>
      <xdr:col>1</xdr:col>
      <xdr:colOff>200025</xdr:colOff>
      <xdr:row>3</xdr:row>
      <xdr:rowOff>180976</xdr:rowOff>
    </xdr:to>
    <xdr:pic>
      <xdr:nvPicPr>
        <xdr:cNvPr id="10" name="Graphic 9" descr="Connections with solid fill">
          <a:extLst>
            <a:ext uri="{FF2B5EF4-FFF2-40B4-BE49-F238E27FC236}">
              <a16:creationId xmlns:a16="http://schemas.microsoft.com/office/drawing/2014/main" id="{6A028555-8227-2B66-A1E7-229F77EAE5D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209551" y="114302"/>
          <a:ext cx="638174" cy="638174"/>
        </a:xfrm>
        <a:prstGeom prst="rect">
          <a:avLst/>
        </a:prstGeom>
      </xdr:spPr>
    </xdr:pic>
    <xdr:clientData/>
  </xdr:twoCellAnchor>
  <xdr:twoCellAnchor>
    <xdr:from>
      <xdr:col>1</xdr:col>
      <xdr:colOff>381000</xdr:colOff>
      <xdr:row>1</xdr:row>
      <xdr:rowOff>152399</xdr:rowOff>
    </xdr:from>
    <xdr:to>
      <xdr:col>3</xdr:col>
      <xdr:colOff>314325</xdr:colOff>
      <xdr:row>3</xdr:row>
      <xdr:rowOff>47624</xdr:rowOff>
    </xdr:to>
    <xdr:sp macro="" textlink="">
      <xdr:nvSpPr>
        <xdr:cNvPr id="11" name="TextBox 10">
          <a:extLst>
            <a:ext uri="{FF2B5EF4-FFF2-40B4-BE49-F238E27FC236}">
              <a16:creationId xmlns:a16="http://schemas.microsoft.com/office/drawing/2014/main" id="{573F46E2-440E-610D-AD19-77FAB858354B}"/>
            </a:ext>
          </a:extLst>
        </xdr:cNvPr>
        <xdr:cNvSpPr txBox="1"/>
      </xdr:nvSpPr>
      <xdr:spPr>
        <a:xfrm>
          <a:off x="1028700" y="342899"/>
          <a:ext cx="11525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Head Count</a:t>
          </a:r>
        </a:p>
      </xdr:txBody>
    </xdr:sp>
    <xdr:clientData/>
  </xdr:twoCellAnchor>
  <xdr:twoCellAnchor editAs="oneCell">
    <xdr:from>
      <xdr:col>3</xdr:col>
      <xdr:colOff>514351</xdr:colOff>
      <xdr:row>0</xdr:row>
      <xdr:rowOff>152401</xdr:rowOff>
    </xdr:from>
    <xdr:to>
      <xdr:col>4</xdr:col>
      <xdr:colOff>542925</xdr:colOff>
      <xdr:row>3</xdr:row>
      <xdr:rowOff>133351</xdr:rowOff>
    </xdr:to>
    <xdr:pic>
      <xdr:nvPicPr>
        <xdr:cNvPr id="13" name="Graphic 12" descr="Questions with solid fill">
          <a:extLst>
            <a:ext uri="{FF2B5EF4-FFF2-40B4-BE49-F238E27FC236}">
              <a16:creationId xmlns:a16="http://schemas.microsoft.com/office/drawing/2014/main" id="{985BBCA2-6326-A0BE-DDD6-ADDBA7C6217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343151" y="152401"/>
          <a:ext cx="638174" cy="552450"/>
        </a:xfrm>
        <a:prstGeom prst="rect">
          <a:avLst/>
        </a:prstGeom>
      </xdr:spPr>
    </xdr:pic>
    <xdr:clientData/>
  </xdr:twoCellAnchor>
  <xdr:twoCellAnchor>
    <xdr:from>
      <xdr:col>5</xdr:col>
      <xdr:colOff>428625</xdr:colOff>
      <xdr:row>0</xdr:row>
      <xdr:rowOff>19050</xdr:rowOff>
    </xdr:from>
    <xdr:to>
      <xdr:col>6</xdr:col>
      <xdr:colOff>514350</xdr:colOff>
      <xdr:row>1</xdr:row>
      <xdr:rowOff>133351</xdr:rowOff>
    </xdr:to>
    <xdr:sp macro="" textlink="$A$7">
      <xdr:nvSpPr>
        <xdr:cNvPr id="14" name="TextBox 13">
          <a:extLst>
            <a:ext uri="{FF2B5EF4-FFF2-40B4-BE49-F238E27FC236}">
              <a16:creationId xmlns:a16="http://schemas.microsoft.com/office/drawing/2014/main" id="{44EC80BC-2AF8-4855-9233-D6ACC04AAB9E}"/>
            </a:ext>
          </a:extLst>
        </xdr:cNvPr>
        <xdr:cNvSpPr txBox="1"/>
      </xdr:nvSpPr>
      <xdr:spPr>
        <a:xfrm>
          <a:off x="3514725" y="19050"/>
          <a:ext cx="69532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12ED09E-E73E-4330-B4DF-1BADE950B180}" type="TxLink">
            <a:rPr lang="en-US" sz="1800" b="0" i="0" u="none" strike="noStrike">
              <a:solidFill>
                <a:schemeClr val="bg1"/>
              </a:solidFill>
              <a:latin typeface="Aptos Narrow"/>
              <a:ea typeface="+mn-ea"/>
              <a:cs typeface="+mn-cs"/>
            </a:rPr>
            <a:pPr marL="0" indent="0"/>
            <a:t>23%</a:t>
          </a:fld>
          <a:endParaRPr lang="en-IN" sz="1800" b="0" i="0" u="none" strike="noStrike">
            <a:solidFill>
              <a:schemeClr val="bg1"/>
            </a:solidFill>
            <a:latin typeface="Aptos Narrow"/>
            <a:ea typeface="+mn-ea"/>
            <a:cs typeface="+mn-cs"/>
          </a:endParaRPr>
        </a:p>
      </xdr:txBody>
    </xdr:sp>
    <xdr:clientData/>
  </xdr:twoCellAnchor>
  <xdr:twoCellAnchor>
    <xdr:from>
      <xdr:col>5</xdr:col>
      <xdr:colOff>0</xdr:colOff>
      <xdr:row>1</xdr:row>
      <xdr:rowOff>133350</xdr:rowOff>
    </xdr:from>
    <xdr:to>
      <xdr:col>7</xdr:col>
      <xdr:colOff>104775</xdr:colOff>
      <xdr:row>3</xdr:row>
      <xdr:rowOff>28575</xdr:rowOff>
    </xdr:to>
    <xdr:sp macro="" textlink="">
      <xdr:nvSpPr>
        <xdr:cNvPr id="15" name="TextBox 14">
          <a:extLst>
            <a:ext uri="{FF2B5EF4-FFF2-40B4-BE49-F238E27FC236}">
              <a16:creationId xmlns:a16="http://schemas.microsoft.com/office/drawing/2014/main" id="{9181F669-91A3-48F6-A6BA-7C878C86D06D}"/>
            </a:ext>
          </a:extLst>
        </xdr:cNvPr>
        <xdr:cNvSpPr txBox="1"/>
      </xdr:nvSpPr>
      <xdr:spPr>
        <a:xfrm>
          <a:off x="3086100" y="323850"/>
          <a:ext cx="13239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Attrition</a:t>
          </a:r>
          <a:r>
            <a:rPr lang="en-IN" sz="1400" b="1" baseline="0">
              <a:solidFill>
                <a:schemeClr val="bg1"/>
              </a:solidFill>
              <a:latin typeface="Sitka Heading" pitchFamily="2" charset="0"/>
            </a:rPr>
            <a:t> Rate</a:t>
          </a:r>
          <a:endParaRPr lang="en-IN" sz="1400" b="1">
            <a:solidFill>
              <a:schemeClr val="bg1"/>
            </a:solidFill>
            <a:latin typeface="Sitka Heading" pitchFamily="2" charset="0"/>
          </a:endParaRPr>
        </a:p>
      </xdr:txBody>
    </xdr:sp>
    <xdr:clientData/>
  </xdr:twoCellAnchor>
  <xdr:twoCellAnchor editAs="oneCell">
    <xdr:from>
      <xdr:col>7</xdr:col>
      <xdr:colOff>338137</xdr:colOff>
      <xdr:row>0</xdr:row>
      <xdr:rowOff>114300</xdr:rowOff>
    </xdr:from>
    <xdr:to>
      <xdr:col>8</xdr:col>
      <xdr:colOff>314325</xdr:colOff>
      <xdr:row>3</xdr:row>
      <xdr:rowOff>95250</xdr:rowOff>
    </xdr:to>
    <xdr:pic>
      <xdr:nvPicPr>
        <xdr:cNvPr id="16" name="Graphic 15" descr="Money with solid fill">
          <a:extLst>
            <a:ext uri="{FF2B5EF4-FFF2-40B4-BE49-F238E27FC236}">
              <a16:creationId xmlns:a16="http://schemas.microsoft.com/office/drawing/2014/main" id="{BDC714A5-9CF9-40C6-B3C3-B99A73043F8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4643437" y="114300"/>
          <a:ext cx="585788" cy="552450"/>
        </a:xfrm>
        <a:prstGeom prst="rect">
          <a:avLst/>
        </a:prstGeom>
      </xdr:spPr>
    </xdr:pic>
    <xdr:clientData/>
  </xdr:twoCellAnchor>
  <xdr:twoCellAnchor>
    <xdr:from>
      <xdr:col>8</xdr:col>
      <xdr:colOff>466725</xdr:colOff>
      <xdr:row>0</xdr:row>
      <xdr:rowOff>38099</xdr:rowOff>
    </xdr:from>
    <xdr:to>
      <xdr:col>10</xdr:col>
      <xdr:colOff>428625</xdr:colOff>
      <xdr:row>1</xdr:row>
      <xdr:rowOff>152400</xdr:rowOff>
    </xdr:to>
    <xdr:sp macro="" textlink="$A$8">
      <xdr:nvSpPr>
        <xdr:cNvPr id="17" name="TextBox 16">
          <a:extLst>
            <a:ext uri="{FF2B5EF4-FFF2-40B4-BE49-F238E27FC236}">
              <a16:creationId xmlns:a16="http://schemas.microsoft.com/office/drawing/2014/main" id="{82DB5320-B4E7-EAF7-965C-1BC80362ABD7}"/>
            </a:ext>
          </a:extLst>
        </xdr:cNvPr>
        <xdr:cNvSpPr txBox="1"/>
      </xdr:nvSpPr>
      <xdr:spPr>
        <a:xfrm>
          <a:off x="5381625" y="38099"/>
          <a:ext cx="1181100"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4E2274-E86C-4865-BB58-7BD8E3FCA497}" type="TxLink">
            <a:rPr lang="en-US" sz="1800" b="0" i="0" u="none" strike="noStrike">
              <a:solidFill>
                <a:schemeClr val="bg1"/>
              </a:solidFill>
              <a:latin typeface="Aptos Narrow"/>
              <a:ea typeface="+mn-ea"/>
              <a:cs typeface="+mn-cs"/>
            </a:rPr>
            <a:pPr marL="0" indent="0"/>
            <a:t> ₹ 82,763 </a:t>
          </a:fld>
          <a:endParaRPr lang="en-IN" sz="1800" b="0" i="0" u="none" strike="noStrike">
            <a:solidFill>
              <a:schemeClr val="bg1"/>
            </a:solidFill>
            <a:latin typeface="Aptos Narrow"/>
            <a:ea typeface="+mn-ea"/>
            <a:cs typeface="+mn-cs"/>
          </a:endParaRPr>
        </a:p>
      </xdr:txBody>
    </xdr:sp>
    <xdr:clientData/>
  </xdr:twoCellAnchor>
  <xdr:twoCellAnchor>
    <xdr:from>
      <xdr:col>8</xdr:col>
      <xdr:colOff>552450</xdr:colOff>
      <xdr:row>1</xdr:row>
      <xdr:rowOff>133349</xdr:rowOff>
    </xdr:from>
    <xdr:to>
      <xdr:col>10</xdr:col>
      <xdr:colOff>533400</xdr:colOff>
      <xdr:row>3</xdr:row>
      <xdr:rowOff>28574</xdr:rowOff>
    </xdr:to>
    <xdr:sp macro="" textlink="">
      <xdr:nvSpPr>
        <xdr:cNvPr id="18" name="TextBox 17">
          <a:extLst>
            <a:ext uri="{FF2B5EF4-FFF2-40B4-BE49-F238E27FC236}">
              <a16:creationId xmlns:a16="http://schemas.microsoft.com/office/drawing/2014/main" id="{73348C37-62CA-6E33-FE21-72242BBE4162}"/>
            </a:ext>
          </a:extLst>
        </xdr:cNvPr>
        <xdr:cNvSpPr txBox="1"/>
      </xdr:nvSpPr>
      <xdr:spPr>
        <a:xfrm>
          <a:off x="5467350" y="323849"/>
          <a:ext cx="12001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Avg</a:t>
          </a:r>
          <a:r>
            <a:rPr lang="en-IN" sz="1400" b="1" baseline="0">
              <a:solidFill>
                <a:schemeClr val="bg1"/>
              </a:solidFill>
              <a:latin typeface="Sitka Heading" pitchFamily="2" charset="0"/>
            </a:rPr>
            <a:t> Salary</a:t>
          </a:r>
          <a:endParaRPr lang="en-IN" sz="1400" b="1">
            <a:solidFill>
              <a:schemeClr val="bg1"/>
            </a:solidFill>
            <a:latin typeface="Sitka Heading" pitchFamily="2" charset="0"/>
          </a:endParaRPr>
        </a:p>
      </xdr:txBody>
    </xdr:sp>
    <xdr:clientData/>
  </xdr:twoCellAnchor>
  <xdr:twoCellAnchor editAs="oneCell">
    <xdr:from>
      <xdr:col>11</xdr:col>
      <xdr:colOff>192881</xdr:colOff>
      <xdr:row>0</xdr:row>
      <xdr:rowOff>161925</xdr:rowOff>
    </xdr:from>
    <xdr:to>
      <xdr:col>12</xdr:col>
      <xdr:colOff>135731</xdr:colOff>
      <xdr:row>3</xdr:row>
      <xdr:rowOff>142875</xdr:rowOff>
    </xdr:to>
    <xdr:pic>
      <xdr:nvPicPr>
        <xdr:cNvPr id="21" name="Graphic 20" descr="Business Growth with solid fill">
          <a:extLst>
            <a:ext uri="{FF2B5EF4-FFF2-40B4-BE49-F238E27FC236}">
              <a16:creationId xmlns:a16="http://schemas.microsoft.com/office/drawing/2014/main" id="{13C94AC7-7A2A-D59D-CE47-07B154CA2E7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6936581" y="161925"/>
          <a:ext cx="552450" cy="552450"/>
        </a:xfrm>
        <a:prstGeom prst="rect">
          <a:avLst/>
        </a:prstGeom>
      </xdr:spPr>
    </xdr:pic>
    <xdr:clientData/>
  </xdr:twoCellAnchor>
  <xdr:twoCellAnchor>
    <xdr:from>
      <xdr:col>12</xdr:col>
      <xdr:colOff>514350</xdr:colOff>
      <xdr:row>0</xdr:row>
      <xdr:rowOff>57149</xdr:rowOff>
    </xdr:from>
    <xdr:to>
      <xdr:col>13</xdr:col>
      <xdr:colOff>600075</xdr:colOff>
      <xdr:row>1</xdr:row>
      <xdr:rowOff>171450</xdr:rowOff>
    </xdr:to>
    <xdr:sp macro="" textlink="$A$9">
      <xdr:nvSpPr>
        <xdr:cNvPr id="25" name="TextBox 24">
          <a:extLst>
            <a:ext uri="{FF2B5EF4-FFF2-40B4-BE49-F238E27FC236}">
              <a16:creationId xmlns:a16="http://schemas.microsoft.com/office/drawing/2014/main" id="{C22308EE-819E-0B08-EC62-FB31CF74CF24}"/>
            </a:ext>
          </a:extLst>
        </xdr:cNvPr>
        <xdr:cNvSpPr txBox="1"/>
      </xdr:nvSpPr>
      <xdr:spPr>
        <a:xfrm>
          <a:off x="7867650" y="57149"/>
          <a:ext cx="69532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E448AB-FCB2-4921-87D5-48AE25063AE0}" type="TxLink">
            <a:rPr lang="en-US" sz="1800" b="0" i="0" u="none" strike="noStrike">
              <a:solidFill>
                <a:schemeClr val="bg1"/>
              </a:solidFill>
              <a:latin typeface="Aptos Narrow"/>
              <a:ea typeface="+mn-ea"/>
              <a:cs typeface="+mn-cs"/>
            </a:rPr>
            <a:pPr marL="0" indent="0"/>
            <a:t>3.99</a:t>
          </a:fld>
          <a:endParaRPr lang="en-IN" sz="1800" b="0" i="0" u="none" strike="noStrike">
            <a:solidFill>
              <a:schemeClr val="bg1"/>
            </a:solidFill>
            <a:latin typeface="Aptos Narrow"/>
            <a:ea typeface="+mn-ea"/>
            <a:cs typeface="+mn-cs"/>
          </a:endParaRPr>
        </a:p>
      </xdr:txBody>
    </xdr:sp>
    <xdr:clientData/>
  </xdr:twoCellAnchor>
  <xdr:twoCellAnchor>
    <xdr:from>
      <xdr:col>12</xdr:col>
      <xdr:colOff>171450</xdr:colOff>
      <xdr:row>1</xdr:row>
      <xdr:rowOff>142874</xdr:rowOff>
    </xdr:from>
    <xdr:to>
      <xdr:col>14</xdr:col>
      <xdr:colOff>523875</xdr:colOff>
      <xdr:row>3</xdr:row>
      <xdr:rowOff>38099</xdr:rowOff>
    </xdr:to>
    <xdr:sp macro="" textlink="">
      <xdr:nvSpPr>
        <xdr:cNvPr id="26" name="TextBox 25">
          <a:extLst>
            <a:ext uri="{FF2B5EF4-FFF2-40B4-BE49-F238E27FC236}">
              <a16:creationId xmlns:a16="http://schemas.microsoft.com/office/drawing/2014/main" id="{6DB8F862-8CF1-F190-634F-315F364808ED}"/>
            </a:ext>
          </a:extLst>
        </xdr:cNvPr>
        <xdr:cNvSpPr txBox="1"/>
      </xdr:nvSpPr>
      <xdr:spPr>
        <a:xfrm>
          <a:off x="7524750" y="333374"/>
          <a:ext cx="15716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Avg</a:t>
          </a:r>
          <a:r>
            <a:rPr lang="en-IN" sz="1400" b="1" baseline="0">
              <a:solidFill>
                <a:schemeClr val="bg1"/>
              </a:solidFill>
              <a:latin typeface="Sitka Heading" pitchFamily="2" charset="0"/>
            </a:rPr>
            <a:t> Performance</a:t>
          </a:r>
          <a:endParaRPr lang="en-IN" sz="1400" b="1">
            <a:solidFill>
              <a:schemeClr val="bg1"/>
            </a:solidFill>
            <a:latin typeface="Sitka Heading" pitchFamily="2" charset="0"/>
          </a:endParaRPr>
        </a:p>
      </xdr:txBody>
    </xdr:sp>
    <xdr:clientData/>
  </xdr:twoCellAnchor>
  <xdr:twoCellAnchor editAs="oneCell">
    <xdr:from>
      <xdr:col>15</xdr:col>
      <xdr:colOff>97631</xdr:colOff>
      <xdr:row>0</xdr:row>
      <xdr:rowOff>161925</xdr:rowOff>
    </xdr:from>
    <xdr:to>
      <xdr:col>16</xdr:col>
      <xdr:colOff>40481</xdr:colOff>
      <xdr:row>3</xdr:row>
      <xdr:rowOff>142875</xdr:rowOff>
    </xdr:to>
    <xdr:pic>
      <xdr:nvPicPr>
        <xdr:cNvPr id="27" name="Graphic 26" descr="Man and woman with solid fill">
          <a:extLst>
            <a:ext uri="{FF2B5EF4-FFF2-40B4-BE49-F238E27FC236}">
              <a16:creationId xmlns:a16="http://schemas.microsoft.com/office/drawing/2014/main" id="{A572076E-EBCC-706D-702B-355D7F291A8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9279731" y="161925"/>
          <a:ext cx="552450" cy="552450"/>
        </a:xfrm>
        <a:prstGeom prst="rect">
          <a:avLst/>
        </a:prstGeom>
      </xdr:spPr>
    </xdr:pic>
    <xdr:clientData/>
  </xdr:twoCellAnchor>
  <xdr:twoCellAnchor>
    <xdr:from>
      <xdr:col>16</xdr:col>
      <xdr:colOff>419100</xdr:colOff>
      <xdr:row>0</xdr:row>
      <xdr:rowOff>38099</xdr:rowOff>
    </xdr:from>
    <xdr:to>
      <xdr:col>18</xdr:col>
      <xdr:colOff>76200</xdr:colOff>
      <xdr:row>1</xdr:row>
      <xdr:rowOff>152400</xdr:rowOff>
    </xdr:to>
    <xdr:sp macro="" textlink="$A$10">
      <xdr:nvSpPr>
        <xdr:cNvPr id="28" name="TextBox 27">
          <a:extLst>
            <a:ext uri="{FF2B5EF4-FFF2-40B4-BE49-F238E27FC236}">
              <a16:creationId xmlns:a16="http://schemas.microsoft.com/office/drawing/2014/main" id="{EF79CE2A-595E-5714-CCC7-1A7E321BAF52}"/>
            </a:ext>
          </a:extLst>
        </xdr:cNvPr>
        <xdr:cNvSpPr txBox="1"/>
      </xdr:nvSpPr>
      <xdr:spPr>
        <a:xfrm>
          <a:off x="10210800" y="38099"/>
          <a:ext cx="876300"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3EA4933-00F9-4637-A6B5-E572540FEDC1}" type="TxLink">
            <a:rPr lang="en-US" sz="1800" b="0" i="0" u="none" strike="noStrike">
              <a:solidFill>
                <a:schemeClr val="bg1"/>
              </a:solidFill>
              <a:latin typeface="Aptos Narrow"/>
              <a:ea typeface="+mn-ea"/>
              <a:cs typeface="+mn-cs"/>
            </a:rPr>
            <a:pPr marL="0" indent="0"/>
            <a:t>100%</a:t>
          </a:fld>
          <a:endParaRPr lang="en-IN" sz="1800" b="0" i="0" u="none" strike="noStrike">
            <a:solidFill>
              <a:schemeClr val="bg1"/>
            </a:solidFill>
            <a:latin typeface="Aptos Narrow"/>
            <a:ea typeface="+mn-ea"/>
            <a:cs typeface="+mn-cs"/>
          </a:endParaRPr>
        </a:p>
      </xdr:txBody>
    </xdr:sp>
    <xdr:clientData/>
  </xdr:twoCellAnchor>
  <xdr:twoCellAnchor>
    <xdr:from>
      <xdr:col>16</xdr:col>
      <xdr:colOff>228601</xdr:colOff>
      <xdr:row>1</xdr:row>
      <xdr:rowOff>104774</xdr:rowOff>
    </xdr:from>
    <xdr:to>
      <xdr:col>18</xdr:col>
      <xdr:colOff>228601</xdr:colOff>
      <xdr:row>2</xdr:row>
      <xdr:rowOff>190499</xdr:rowOff>
    </xdr:to>
    <xdr:sp macro="" textlink="">
      <xdr:nvSpPr>
        <xdr:cNvPr id="29" name="TextBox 28">
          <a:extLst>
            <a:ext uri="{FF2B5EF4-FFF2-40B4-BE49-F238E27FC236}">
              <a16:creationId xmlns:a16="http://schemas.microsoft.com/office/drawing/2014/main" id="{B0D8F525-BFA6-F526-683C-97F3FCF73E21}"/>
            </a:ext>
          </a:extLst>
        </xdr:cNvPr>
        <xdr:cNvSpPr txBox="1"/>
      </xdr:nvSpPr>
      <xdr:spPr>
        <a:xfrm>
          <a:off x="10020301" y="295274"/>
          <a:ext cx="12192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Diversity</a:t>
          </a:r>
          <a:r>
            <a:rPr lang="en-IN" sz="1400" b="1" baseline="0">
              <a:solidFill>
                <a:schemeClr val="bg1"/>
              </a:solidFill>
              <a:latin typeface="Sitka Heading" pitchFamily="2" charset="0"/>
            </a:rPr>
            <a:t> %</a:t>
          </a:r>
          <a:endParaRPr lang="en-IN" sz="1400" b="1">
            <a:solidFill>
              <a:schemeClr val="bg1"/>
            </a:solidFill>
            <a:latin typeface="Sitka Heading" pitchFamily="2" charset="0"/>
          </a:endParaRPr>
        </a:p>
      </xdr:txBody>
    </xdr:sp>
    <xdr:clientData/>
  </xdr:twoCellAnchor>
  <xdr:twoCellAnchor editAs="oneCell">
    <xdr:from>
      <xdr:col>18</xdr:col>
      <xdr:colOff>381000</xdr:colOff>
      <xdr:row>0</xdr:row>
      <xdr:rowOff>47626</xdr:rowOff>
    </xdr:from>
    <xdr:to>
      <xdr:col>21</xdr:col>
      <xdr:colOff>408226</xdr:colOff>
      <xdr:row>3</xdr:row>
      <xdr:rowOff>124126</xdr:rowOff>
    </xdr:to>
    <mc:AlternateContent xmlns:mc="http://schemas.openxmlformats.org/markup-compatibility/2006" xmlns:a14="http://schemas.microsoft.com/office/drawing/2010/main">
      <mc:Choice Requires="a14">
        <xdr:graphicFrame macro="">
          <xdr:nvGraphicFramePr>
            <xdr:cNvPr id="30" name="Gender">
              <a:extLst>
                <a:ext uri="{FF2B5EF4-FFF2-40B4-BE49-F238E27FC236}">
                  <a16:creationId xmlns:a16="http://schemas.microsoft.com/office/drawing/2014/main" id="{403F64DA-7ACB-48BD-9488-68B5770C1E3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391900" y="47626"/>
              <a:ext cx="1856026"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17</xdr:row>
      <xdr:rowOff>38100</xdr:rowOff>
    </xdr:from>
    <xdr:to>
      <xdr:col>21</xdr:col>
      <xdr:colOff>415650</xdr:colOff>
      <xdr:row>27</xdr:row>
      <xdr:rowOff>123825</xdr:rowOff>
    </xdr:to>
    <mc:AlternateContent xmlns:mc="http://schemas.openxmlformats.org/markup-compatibility/2006" xmlns:a14="http://schemas.microsoft.com/office/drawing/2010/main">
      <mc:Choice Requires="a14">
        <xdr:graphicFrame macro="">
          <xdr:nvGraphicFramePr>
            <xdr:cNvPr id="31" name="Department">
              <a:extLst>
                <a:ext uri="{FF2B5EF4-FFF2-40B4-BE49-F238E27FC236}">
                  <a16:creationId xmlns:a16="http://schemas.microsoft.com/office/drawing/2014/main" id="{7BFB90D5-134E-4176-8BDD-BB53B3B3D4B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391900" y="3276600"/>
              <a:ext cx="1863450" cy="1990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3</xdr:row>
      <xdr:rowOff>152400</xdr:rowOff>
    </xdr:from>
    <xdr:to>
      <xdr:col>21</xdr:col>
      <xdr:colOff>408226</xdr:colOff>
      <xdr:row>7</xdr:row>
      <xdr:rowOff>2400</xdr:rowOff>
    </xdr:to>
    <mc:AlternateContent xmlns:mc="http://schemas.openxmlformats.org/markup-compatibility/2006" xmlns:a14="http://schemas.microsoft.com/office/drawing/2010/main">
      <mc:Choice Requires="a14">
        <xdr:graphicFrame macro="">
          <xdr:nvGraphicFramePr>
            <xdr:cNvPr id="32" name="Attrition">
              <a:extLst>
                <a:ext uri="{FF2B5EF4-FFF2-40B4-BE49-F238E27FC236}">
                  <a16:creationId xmlns:a16="http://schemas.microsoft.com/office/drawing/2014/main" id="{64E6EC50-E818-412C-AD39-A88C65BFF749}"/>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1391900" y="723900"/>
              <a:ext cx="1856026"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7</xdr:row>
      <xdr:rowOff>28575</xdr:rowOff>
    </xdr:from>
    <xdr:to>
      <xdr:col>21</xdr:col>
      <xdr:colOff>415650</xdr:colOff>
      <xdr:row>17</xdr:row>
      <xdr:rowOff>9524</xdr:rowOff>
    </xdr:to>
    <mc:AlternateContent xmlns:mc="http://schemas.openxmlformats.org/markup-compatibility/2006" xmlns:a14="http://schemas.microsoft.com/office/drawing/2010/main">
      <mc:Choice Requires="a14">
        <xdr:graphicFrame macro="">
          <xdr:nvGraphicFramePr>
            <xdr:cNvPr id="33" name="WorkLocation">
              <a:extLst>
                <a:ext uri="{FF2B5EF4-FFF2-40B4-BE49-F238E27FC236}">
                  <a16:creationId xmlns:a16="http://schemas.microsoft.com/office/drawing/2014/main" id="{59CAEAEB-7F58-4C9B-AA37-924A79387687}"/>
                </a:ext>
              </a:extLst>
            </xdr:cNvPr>
            <xdr:cNvGraphicFramePr/>
          </xdr:nvGraphicFramePr>
          <xdr:xfrm>
            <a:off x="0" y="0"/>
            <a:ext cx="0" cy="0"/>
          </xdr:xfrm>
          <a:graphic>
            <a:graphicData uri="http://schemas.microsoft.com/office/drawing/2010/slicer">
              <sle:slicer xmlns:sle="http://schemas.microsoft.com/office/drawing/2010/slicer" name="WorkLocation"/>
            </a:graphicData>
          </a:graphic>
        </xdr:graphicFrame>
      </mc:Choice>
      <mc:Fallback xmlns="">
        <xdr:sp macro="" textlink="">
          <xdr:nvSpPr>
            <xdr:cNvPr id="0" name=""/>
            <xdr:cNvSpPr>
              <a:spLocks noTextEdit="1"/>
            </xdr:cNvSpPr>
          </xdr:nvSpPr>
          <xdr:spPr>
            <a:xfrm>
              <a:off x="11391900" y="1362075"/>
              <a:ext cx="1863450" cy="1885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95251</xdr:colOff>
      <xdr:row>4</xdr:row>
      <xdr:rowOff>133349</xdr:rowOff>
    </xdr:from>
    <xdr:to>
      <xdr:col>5</xdr:col>
      <xdr:colOff>438151</xdr:colOff>
      <xdr:row>15</xdr:row>
      <xdr:rowOff>180974</xdr:rowOff>
    </xdr:to>
    <xdr:graphicFrame macro="">
      <xdr:nvGraphicFramePr>
        <xdr:cNvPr id="34" name="Chart 33">
          <a:extLst>
            <a:ext uri="{FF2B5EF4-FFF2-40B4-BE49-F238E27FC236}">
              <a16:creationId xmlns:a16="http://schemas.microsoft.com/office/drawing/2014/main" id="{308875A4-810E-4E56-AB5F-F5109B875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561975</xdr:colOff>
      <xdr:row>4</xdr:row>
      <xdr:rowOff>133350</xdr:rowOff>
    </xdr:from>
    <xdr:to>
      <xdr:col>12</xdr:col>
      <xdr:colOff>295275</xdr:colOff>
      <xdr:row>16</xdr:row>
      <xdr:rowOff>9525</xdr:rowOff>
    </xdr:to>
    <xdr:graphicFrame macro="">
      <xdr:nvGraphicFramePr>
        <xdr:cNvPr id="35" name="Chart 34">
          <a:extLst>
            <a:ext uri="{FF2B5EF4-FFF2-40B4-BE49-F238E27FC236}">
              <a16:creationId xmlns:a16="http://schemas.microsoft.com/office/drawing/2014/main" id="{34329AB2-0788-4997-AC78-A7F71392C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95250</xdr:colOff>
      <xdr:row>16</xdr:row>
      <xdr:rowOff>47625</xdr:rowOff>
    </xdr:from>
    <xdr:to>
      <xdr:col>5</xdr:col>
      <xdr:colOff>447675</xdr:colOff>
      <xdr:row>27</xdr:row>
      <xdr:rowOff>104775</xdr:rowOff>
    </xdr:to>
    <xdr:graphicFrame macro="">
      <xdr:nvGraphicFramePr>
        <xdr:cNvPr id="36" name="Chart 35">
          <a:extLst>
            <a:ext uri="{FF2B5EF4-FFF2-40B4-BE49-F238E27FC236}">
              <a16:creationId xmlns:a16="http://schemas.microsoft.com/office/drawing/2014/main" id="{BCE3FAA7-2C4B-4FD5-A703-2B0574A02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561975</xdr:colOff>
      <xdr:row>16</xdr:row>
      <xdr:rowOff>76200</xdr:rowOff>
    </xdr:from>
    <xdr:to>
      <xdr:col>12</xdr:col>
      <xdr:colOff>295275</xdr:colOff>
      <xdr:row>27</xdr:row>
      <xdr:rowOff>104775</xdr:rowOff>
    </xdr:to>
    <xdr:graphicFrame macro="">
      <xdr:nvGraphicFramePr>
        <xdr:cNvPr id="37" name="Chart 36">
          <a:extLst>
            <a:ext uri="{FF2B5EF4-FFF2-40B4-BE49-F238E27FC236}">
              <a16:creationId xmlns:a16="http://schemas.microsoft.com/office/drawing/2014/main" id="{3B7B010F-89BB-45E9-BCE8-EB21B184B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352425</xdr:colOff>
      <xdr:row>4</xdr:row>
      <xdr:rowOff>133349</xdr:rowOff>
    </xdr:from>
    <xdr:to>
      <xdr:col>18</xdr:col>
      <xdr:colOff>333375</xdr:colOff>
      <xdr:row>27</xdr:row>
      <xdr:rowOff>104775</xdr:rowOff>
    </xdr:to>
    <xdr:graphicFrame macro="">
      <xdr:nvGraphicFramePr>
        <xdr:cNvPr id="38" name="Chart 37">
          <a:extLst>
            <a:ext uri="{FF2B5EF4-FFF2-40B4-BE49-F238E27FC236}">
              <a16:creationId xmlns:a16="http://schemas.microsoft.com/office/drawing/2014/main" id="{73F3B4F1-E92B-4728-A23C-4FA8B3434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352425</xdr:colOff>
      <xdr:row>3</xdr:row>
      <xdr:rowOff>47626</xdr:rowOff>
    </xdr:from>
    <xdr:to>
      <xdr:col>3</xdr:col>
      <xdr:colOff>523875</xdr:colOff>
      <xdr:row>4</xdr:row>
      <xdr:rowOff>57150</xdr:rowOff>
    </xdr:to>
    <xdr:sp macro="" textlink="">
      <xdr:nvSpPr>
        <xdr:cNvPr id="7" name="TextBox 6">
          <a:hlinkClick xmlns:r="http://schemas.openxmlformats.org/officeDocument/2006/relationships" r:id="rId1"/>
          <a:extLst>
            <a:ext uri="{FF2B5EF4-FFF2-40B4-BE49-F238E27FC236}">
              <a16:creationId xmlns:a16="http://schemas.microsoft.com/office/drawing/2014/main" id="{737F59DB-A59C-7ABB-A4D2-152B90DB8DF0}"/>
            </a:ext>
          </a:extLst>
        </xdr:cNvPr>
        <xdr:cNvSpPr txBox="1"/>
      </xdr:nvSpPr>
      <xdr:spPr>
        <a:xfrm>
          <a:off x="1609725" y="619126"/>
          <a:ext cx="781050" cy="20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Click here</a:t>
          </a:r>
        </a:p>
      </xdr:txBody>
    </xdr:sp>
    <xdr:clientData/>
  </xdr:twoCellAnchor>
  <xdr:twoCellAnchor>
    <xdr:from>
      <xdr:col>6</xdr:col>
      <xdr:colOff>142875</xdr:colOff>
      <xdr:row>3</xdr:row>
      <xdr:rowOff>47625</xdr:rowOff>
    </xdr:from>
    <xdr:to>
      <xdr:col>7</xdr:col>
      <xdr:colOff>314325</xdr:colOff>
      <xdr:row>4</xdr:row>
      <xdr:rowOff>57149</xdr:rowOff>
    </xdr:to>
    <xdr:sp macro="" textlink="">
      <xdr:nvSpPr>
        <xdr:cNvPr id="12" name="TextBox 11">
          <a:hlinkClick xmlns:r="http://schemas.openxmlformats.org/officeDocument/2006/relationships" r:id="rId2"/>
          <a:extLst>
            <a:ext uri="{FF2B5EF4-FFF2-40B4-BE49-F238E27FC236}">
              <a16:creationId xmlns:a16="http://schemas.microsoft.com/office/drawing/2014/main" id="{D69A011B-207C-4D31-8DD3-4EDC5A853521}"/>
            </a:ext>
          </a:extLst>
        </xdr:cNvPr>
        <xdr:cNvSpPr txBox="1"/>
      </xdr:nvSpPr>
      <xdr:spPr>
        <a:xfrm>
          <a:off x="3838575" y="619125"/>
          <a:ext cx="781050" cy="20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Click here</a:t>
          </a:r>
        </a:p>
      </xdr:txBody>
    </xdr:sp>
    <xdr:clientData/>
  </xdr:twoCellAnchor>
  <xdr:twoCellAnchor>
    <xdr:from>
      <xdr:col>10</xdr:col>
      <xdr:colOff>28575</xdr:colOff>
      <xdr:row>3</xdr:row>
      <xdr:rowOff>28575</xdr:rowOff>
    </xdr:from>
    <xdr:to>
      <xdr:col>11</xdr:col>
      <xdr:colOff>200025</xdr:colOff>
      <xdr:row>4</xdr:row>
      <xdr:rowOff>38099</xdr:rowOff>
    </xdr:to>
    <xdr:sp macro="" textlink="">
      <xdr:nvSpPr>
        <xdr:cNvPr id="19" name="TextBox 18">
          <a:hlinkClick xmlns:r="http://schemas.openxmlformats.org/officeDocument/2006/relationships" r:id="rId3"/>
          <a:extLst>
            <a:ext uri="{FF2B5EF4-FFF2-40B4-BE49-F238E27FC236}">
              <a16:creationId xmlns:a16="http://schemas.microsoft.com/office/drawing/2014/main" id="{AB312C2B-7BC6-493C-B489-A74ECD2954A6}"/>
            </a:ext>
          </a:extLst>
        </xdr:cNvPr>
        <xdr:cNvSpPr txBox="1"/>
      </xdr:nvSpPr>
      <xdr:spPr>
        <a:xfrm>
          <a:off x="6162675" y="600075"/>
          <a:ext cx="781050" cy="20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Click here</a:t>
          </a:r>
        </a:p>
      </xdr:txBody>
    </xdr:sp>
    <xdr:clientData/>
  </xdr:twoCellAnchor>
  <xdr:twoCellAnchor>
    <xdr:from>
      <xdr:col>13</xdr:col>
      <xdr:colOff>590550</xdr:colOff>
      <xdr:row>3</xdr:row>
      <xdr:rowOff>47625</xdr:rowOff>
    </xdr:from>
    <xdr:to>
      <xdr:col>15</xdr:col>
      <xdr:colOff>152400</xdr:colOff>
      <xdr:row>4</xdr:row>
      <xdr:rowOff>57149</xdr:rowOff>
    </xdr:to>
    <xdr:sp macro="" textlink="">
      <xdr:nvSpPr>
        <xdr:cNvPr id="20" name="TextBox 19">
          <a:hlinkClick xmlns:r="http://schemas.openxmlformats.org/officeDocument/2006/relationships" r:id="rId4"/>
          <a:extLst>
            <a:ext uri="{FF2B5EF4-FFF2-40B4-BE49-F238E27FC236}">
              <a16:creationId xmlns:a16="http://schemas.microsoft.com/office/drawing/2014/main" id="{1212EFCB-CC67-4FFD-86F8-CBB97396A3EB}"/>
            </a:ext>
          </a:extLst>
        </xdr:cNvPr>
        <xdr:cNvSpPr txBox="1"/>
      </xdr:nvSpPr>
      <xdr:spPr>
        <a:xfrm>
          <a:off x="8553450" y="619125"/>
          <a:ext cx="781050" cy="20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Click here</a:t>
          </a:r>
        </a:p>
      </xdr:txBody>
    </xdr:sp>
    <xdr:clientData/>
  </xdr:twoCellAnchor>
  <xdr:twoCellAnchor>
    <xdr:from>
      <xdr:col>17</xdr:col>
      <xdr:colOff>371475</xdr:colOff>
      <xdr:row>3</xdr:row>
      <xdr:rowOff>19050</xdr:rowOff>
    </xdr:from>
    <xdr:to>
      <xdr:col>18</xdr:col>
      <xdr:colOff>542925</xdr:colOff>
      <xdr:row>4</xdr:row>
      <xdr:rowOff>9525</xdr:rowOff>
    </xdr:to>
    <xdr:sp macro="" textlink="">
      <xdr:nvSpPr>
        <xdr:cNvPr id="22" name="TextBox 21">
          <a:hlinkClick xmlns:r="http://schemas.openxmlformats.org/officeDocument/2006/relationships" r:id="rId5"/>
          <a:extLst>
            <a:ext uri="{FF2B5EF4-FFF2-40B4-BE49-F238E27FC236}">
              <a16:creationId xmlns:a16="http://schemas.microsoft.com/office/drawing/2014/main" id="{0377AE92-76D0-477A-9207-DF6E5AFD1C85}"/>
            </a:ext>
          </a:extLst>
        </xdr:cNvPr>
        <xdr:cNvSpPr txBox="1"/>
      </xdr:nvSpPr>
      <xdr:spPr>
        <a:xfrm>
          <a:off x="10772775" y="590550"/>
          <a:ext cx="78105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Click here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571500</xdr:colOff>
      <xdr:row>0</xdr:row>
      <xdr:rowOff>57150</xdr:rowOff>
    </xdr:from>
    <xdr:to>
      <xdr:col>4</xdr:col>
      <xdr:colOff>314325</xdr:colOff>
      <xdr:row>4</xdr:row>
      <xdr:rowOff>57150</xdr:rowOff>
    </xdr:to>
    <xdr:sp macro="" textlink="">
      <xdr:nvSpPr>
        <xdr:cNvPr id="2" name="Rectangle: Rounded Corners 1">
          <a:extLst>
            <a:ext uri="{FF2B5EF4-FFF2-40B4-BE49-F238E27FC236}">
              <a16:creationId xmlns:a16="http://schemas.microsoft.com/office/drawing/2014/main" id="{6640A6B6-F7BB-40AC-9B73-086F37F84267}"/>
            </a:ext>
          </a:extLst>
        </xdr:cNvPr>
        <xdr:cNvSpPr/>
      </xdr:nvSpPr>
      <xdr:spPr>
        <a:xfrm>
          <a:off x="571500" y="57150"/>
          <a:ext cx="2181225" cy="762000"/>
        </a:xfrm>
        <a:prstGeom prst="roundRect">
          <a:avLst/>
        </a:prstGeom>
        <a:solidFill>
          <a:srgbClr val="FF0000">
            <a:alpha val="92000"/>
          </a:srgbClr>
        </a:solidFill>
        <a:ln>
          <a:noFill/>
          <a:prstDash val="sysDash"/>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a:noFill/>
            </a:ln>
            <a:solidFill>
              <a:schemeClr val="tx1"/>
            </a:solidFill>
            <a:effectLst/>
          </a:endParaRPr>
        </a:p>
      </xdr:txBody>
    </xdr:sp>
    <xdr:clientData/>
  </xdr:twoCellAnchor>
  <xdr:twoCellAnchor>
    <xdr:from>
      <xdr:col>4</xdr:col>
      <xdr:colOff>361950</xdr:colOff>
      <xdr:row>0</xdr:row>
      <xdr:rowOff>57150</xdr:rowOff>
    </xdr:from>
    <xdr:to>
      <xdr:col>7</xdr:col>
      <xdr:colOff>581025</xdr:colOff>
      <xdr:row>4</xdr:row>
      <xdr:rowOff>57150</xdr:rowOff>
    </xdr:to>
    <xdr:sp macro="" textlink="">
      <xdr:nvSpPr>
        <xdr:cNvPr id="3" name="Rectangle: Rounded Corners 2">
          <a:extLst>
            <a:ext uri="{FF2B5EF4-FFF2-40B4-BE49-F238E27FC236}">
              <a16:creationId xmlns:a16="http://schemas.microsoft.com/office/drawing/2014/main" id="{8CABDEA6-7F3E-4D10-B073-01FF335875D9}"/>
            </a:ext>
          </a:extLst>
        </xdr:cNvPr>
        <xdr:cNvSpPr/>
      </xdr:nvSpPr>
      <xdr:spPr>
        <a:xfrm>
          <a:off x="2800350" y="57150"/>
          <a:ext cx="2047875" cy="762000"/>
        </a:xfrm>
        <a:prstGeom prst="roundRect">
          <a:avLst/>
        </a:prstGeom>
        <a:effectLst>
          <a:outerShdw blurRad="76200" dist="38100" dir="2700000" algn="tl" rotWithShape="0">
            <a:schemeClr val="bg1">
              <a:lumMod val="50000"/>
              <a:alpha val="40000"/>
            </a:scheme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28575</xdr:colOff>
      <xdr:row>0</xdr:row>
      <xdr:rowOff>57150</xdr:rowOff>
    </xdr:from>
    <xdr:to>
      <xdr:col>11</xdr:col>
      <xdr:colOff>342900</xdr:colOff>
      <xdr:row>4</xdr:row>
      <xdr:rowOff>57150</xdr:rowOff>
    </xdr:to>
    <xdr:sp macro="" textlink="">
      <xdr:nvSpPr>
        <xdr:cNvPr id="4" name="Rectangle: Rounded Corners 3">
          <a:extLst>
            <a:ext uri="{FF2B5EF4-FFF2-40B4-BE49-F238E27FC236}">
              <a16:creationId xmlns:a16="http://schemas.microsoft.com/office/drawing/2014/main" id="{7C113ECD-A6F8-4040-974F-FD3ABE1855D5}"/>
            </a:ext>
          </a:extLst>
        </xdr:cNvPr>
        <xdr:cNvSpPr/>
      </xdr:nvSpPr>
      <xdr:spPr>
        <a:xfrm>
          <a:off x="4905375" y="57150"/>
          <a:ext cx="2143125" cy="762000"/>
        </a:xfrm>
        <a:prstGeom prst="roundRect">
          <a:avLst/>
        </a:prstGeom>
        <a:ln>
          <a:noFill/>
        </a:ln>
        <a:effectLst>
          <a:outerShdw blurRad="76200" dist="38100" dir="2700000" algn="tl" rotWithShape="0">
            <a:schemeClr val="bg1">
              <a:lumMod val="50000"/>
              <a:alpha val="40000"/>
            </a:scheme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390525</xdr:colOff>
      <xdr:row>0</xdr:row>
      <xdr:rowOff>57150</xdr:rowOff>
    </xdr:from>
    <xdr:to>
      <xdr:col>15</xdr:col>
      <xdr:colOff>145530</xdr:colOff>
      <xdr:row>4</xdr:row>
      <xdr:rowOff>57150</xdr:rowOff>
    </xdr:to>
    <xdr:sp macro="" textlink="">
      <xdr:nvSpPr>
        <xdr:cNvPr id="5" name="Rectangle: Rounded Corners 4">
          <a:extLst>
            <a:ext uri="{FF2B5EF4-FFF2-40B4-BE49-F238E27FC236}">
              <a16:creationId xmlns:a16="http://schemas.microsoft.com/office/drawing/2014/main" id="{6ED9A654-A268-4FCE-AF26-4D23F9585D5C}"/>
            </a:ext>
          </a:extLst>
        </xdr:cNvPr>
        <xdr:cNvSpPr/>
      </xdr:nvSpPr>
      <xdr:spPr>
        <a:xfrm>
          <a:off x="7096125" y="57150"/>
          <a:ext cx="2193405" cy="762000"/>
        </a:xfrm>
        <a:prstGeom prst="roundRect">
          <a:avLst/>
        </a:prstGeom>
        <a:ln>
          <a:noFill/>
        </a:ln>
        <a:effectLst>
          <a:outerShdw blurRad="76200" dist="38100" dir="2700000" algn="tl" rotWithShape="0">
            <a:schemeClr val="bg1">
              <a:lumMod val="50000"/>
              <a:alpha val="40000"/>
            </a:scheme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180975</xdr:colOff>
      <xdr:row>0</xdr:row>
      <xdr:rowOff>57150</xdr:rowOff>
    </xdr:from>
    <xdr:to>
      <xdr:col>18</xdr:col>
      <xdr:colOff>342900</xdr:colOff>
      <xdr:row>4</xdr:row>
      <xdr:rowOff>57150</xdr:rowOff>
    </xdr:to>
    <xdr:sp macro="" textlink="">
      <xdr:nvSpPr>
        <xdr:cNvPr id="6" name="Rectangle: Rounded Corners 5">
          <a:extLst>
            <a:ext uri="{FF2B5EF4-FFF2-40B4-BE49-F238E27FC236}">
              <a16:creationId xmlns:a16="http://schemas.microsoft.com/office/drawing/2014/main" id="{BA3514DE-2118-4BE6-8F39-A3149CA49607}"/>
            </a:ext>
          </a:extLst>
        </xdr:cNvPr>
        <xdr:cNvSpPr/>
      </xdr:nvSpPr>
      <xdr:spPr>
        <a:xfrm>
          <a:off x="9324975" y="57150"/>
          <a:ext cx="1990725" cy="762000"/>
        </a:xfrm>
        <a:prstGeom prst="roundRect">
          <a:avLst/>
        </a:prstGeom>
        <a:ln>
          <a:noFill/>
        </a:ln>
        <a:effectLst>
          <a:outerShdw blurRad="76200" dist="38100" dir="2700000" algn="tl" rotWithShape="0">
            <a:schemeClr val="bg1">
              <a:lumMod val="50000"/>
              <a:alpha val="40000"/>
            </a:scheme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552450</xdr:colOff>
      <xdr:row>0</xdr:row>
      <xdr:rowOff>38099</xdr:rowOff>
    </xdr:from>
    <xdr:to>
      <xdr:col>4</xdr:col>
      <xdr:colOff>28575</xdr:colOff>
      <xdr:row>1</xdr:row>
      <xdr:rowOff>152400</xdr:rowOff>
    </xdr:to>
    <xdr:sp macro="" textlink="$A$6">
      <xdr:nvSpPr>
        <xdr:cNvPr id="7" name="TextBox 6">
          <a:extLst>
            <a:ext uri="{FF2B5EF4-FFF2-40B4-BE49-F238E27FC236}">
              <a16:creationId xmlns:a16="http://schemas.microsoft.com/office/drawing/2014/main" id="{485EA70D-3586-413F-93A4-320E654E9CB6}"/>
            </a:ext>
          </a:extLst>
        </xdr:cNvPr>
        <xdr:cNvSpPr txBox="1"/>
      </xdr:nvSpPr>
      <xdr:spPr>
        <a:xfrm>
          <a:off x="1771650" y="38099"/>
          <a:ext cx="69532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2FCAA9-9AFB-461E-A7A7-70A5D6B91F8C}" type="TxLink">
            <a:rPr lang="en-US" sz="1800" b="0" i="0" u="none" strike="noStrike">
              <a:solidFill>
                <a:schemeClr val="bg1"/>
              </a:solidFill>
              <a:latin typeface="Aptos Narrow"/>
            </a:rPr>
            <a:pPr/>
            <a:t>300</a:t>
          </a:fld>
          <a:endParaRPr lang="en-IN" sz="1800">
            <a:solidFill>
              <a:schemeClr val="bg1"/>
            </a:solidFill>
          </a:endParaRPr>
        </a:p>
      </xdr:txBody>
    </xdr:sp>
    <xdr:clientData/>
  </xdr:twoCellAnchor>
  <xdr:twoCellAnchor editAs="oneCell">
    <xdr:from>
      <xdr:col>1</xdr:col>
      <xdr:colOff>123826</xdr:colOff>
      <xdr:row>0</xdr:row>
      <xdr:rowOff>114302</xdr:rowOff>
    </xdr:from>
    <xdr:to>
      <xdr:col>2</xdr:col>
      <xdr:colOff>152400</xdr:colOff>
      <xdr:row>3</xdr:row>
      <xdr:rowOff>180976</xdr:rowOff>
    </xdr:to>
    <xdr:pic>
      <xdr:nvPicPr>
        <xdr:cNvPr id="8" name="Graphic 7" descr="Connections with solid fill">
          <a:extLst>
            <a:ext uri="{FF2B5EF4-FFF2-40B4-BE49-F238E27FC236}">
              <a16:creationId xmlns:a16="http://schemas.microsoft.com/office/drawing/2014/main" id="{D85E2EB7-3FA7-48A6-9029-26B4728660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733426" y="114302"/>
          <a:ext cx="638174" cy="638174"/>
        </a:xfrm>
        <a:prstGeom prst="rect">
          <a:avLst/>
        </a:prstGeom>
      </xdr:spPr>
    </xdr:pic>
    <xdr:clientData/>
  </xdr:twoCellAnchor>
  <xdr:twoCellAnchor>
    <xdr:from>
      <xdr:col>2</xdr:col>
      <xdr:colOff>295275</xdr:colOff>
      <xdr:row>1</xdr:row>
      <xdr:rowOff>133349</xdr:rowOff>
    </xdr:from>
    <xdr:to>
      <xdr:col>4</xdr:col>
      <xdr:colOff>228600</xdr:colOff>
      <xdr:row>3</xdr:row>
      <xdr:rowOff>28574</xdr:rowOff>
    </xdr:to>
    <xdr:sp macro="" textlink="">
      <xdr:nvSpPr>
        <xdr:cNvPr id="9" name="TextBox 8">
          <a:extLst>
            <a:ext uri="{FF2B5EF4-FFF2-40B4-BE49-F238E27FC236}">
              <a16:creationId xmlns:a16="http://schemas.microsoft.com/office/drawing/2014/main" id="{BAC8ECB9-30B8-4FD7-B512-A581B6ABDE27}"/>
            </a:ext>
          </a:extLst>
        </xdr:cNvPr>
        <xdr:cNvSpPr txBox="1"/>
      </xdr:nvSpPr>
      <xdr:spPr>
        <a:xfrm>
          <a:off x="1514475" y="323849"/>
          <a:ext cx="11525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Head Count</a:t>
          </a:r>
        </a:p>
      </xdr:txBody>
    </xdr:sp>
    <xdr:clientData/>
  </xdr:twoCellAnchor>
  <xdr:twoCellAnchor editAs="oneCell">
    <xdr:from>
      <xdr:col>4</xdr:col>
      <xdr:colOff>438151</xdr:colOff>
      <xdr:row>0</xdr:row>
      <xdr:rowOff>152401</xdr:rowOff>
    </xdr:from>
    <xdr:to>
      <xdr:col>5</xdr:col>
      <xdr:colOff>466725</xdr:colOff>
      <xdr:row>3</xdr:row>
      <xdr:rowOff>133351</xdr:rowOff>
    </xdr:to>
    <xdr:pic>
      <xdr:nvPicPr>
        <xdr:cNvPr id="10" name="Graphic 9" descr="Questions with solid fill">
          <a:extLst>
            <a:ext uri="{FF2B5EF4-FFF2-40B4-BE49-F238E27FC236}">
              <a16:creationId xmlns:a16="http://schemas.microsoft.com/office/drawing/2014/main" id="{CFA48A04-C885-4518-A344-866CACE9D97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76551" y="152401"/>
          <a:ext cx="638174" cy="552450"/>
        </a:xfrm>
        <a:prstGeom prst="rect">
          <a:avLst/>
        </a:prstGeom>
      </xdr:spPr>
    </xdr:pic>
    <xdr:clientData/>
  </xdr:twoCellAnchor>
  <xdr:twoCellAnchor>
    <xdr:from>
      <xdr:col>6</xdr:col>
      <xdr:colOff>352425</xdr:colOff>
      <xdr:row>0</xdr:row>
      <xdr:rowOff>38100</xdr:rowOff>
    </xdr:from>
    <xdr:to>
      <xdr:col>7</xdr:col>
      <xdr:colOff>438150</xdr:colOff>
      <xdr:row>1</xdr:row>
      <xdr:rowOff>152401</xdr:rowOff>
    </xdr:to>
    <xdr:sp macro="" textlink="$A$7">
      <xdr:nvSpPr>
        <xdr:cNvPr id="11" name="TextBox 10">
          <a:extLst>
            <a:ext uri="{FF2B5EF4-FFF2-40B4-BE49-F238E27FC236}">
              <a16:creationId xmlns:a16="http://schemas.microsoft.com/office/drawing/2014/main" id="{1E080F2A-15CF-48E8-80AD-AF93234DC7D2}"/>
            </a:ext>
          </a:extLst>
        </xdr:cNvPr>
        <xdr:cNvSpPr txBox="1"/>
      </xdr:nvSpPr>
      <xdr:spPr>
        <a:xfrm>
          <a:off x="4010025" y="38100"/>
          <a:ext cx="69532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12ED09E-E73E-4330-B4DF-1BADE950B180}" type="TxLink">
            <a:rPr lang="en-US" sz="1800" b="0" i="0" u="none" strike="noStrike">
              <a:solidFill>
                <a:schemeClr val="bg1"/>
              </a:solidFill>
              <a:latin typeface="Aptos Narrow"/>
              <a:ea typeface="+mn-ea"/>
              <a:cs typeface="+mn-cs"/>
            </a:rPr>
            <a:pPr marL="0" indent="0"/>
            <a:t>23%</a:t>
          </a:fld>
          <a:endParaRPr lang="en-IN" sz="1800" b="0" i="0" u="none" strike="noStrike">
            <a:solidFill>
              <a:schemeClr val="bg1"/>
            </a:solidFill>
            <a:latin typeface="Aptos Narrow"/>
            <a:ea typeface="+mn-ea"/>
            <a:cs typeface="+mn-cs"/>
          </a:endParaRPr>
        </a:p>
      </xdr:txBody>
    </xdr:sp>
    <xdr:clientData/>
  </xdr:twoCellAnchor>
  <xdr:twoCellAnchor>
    <xdr:from>
      <xdr:col>5</xdr:col>
      <xdr:colOff>533400</xdr:colOff>
      <xdr:row>1</xdr:row>
      <xdr:rowOff>161925</xdr:rowOff>
    </xdr:from>
    <xdr:to>
      <xdr:col>8</xdr:col>
      <xdr:colOff>28575</xdr:colOff>
      <xdr:row>3</xdr:row>
      <xdr:rowOff>57150</xdr:rowOff>
    </xdr:to>
    <xdr:sp macro="" textlink="">
      <xdr:nvSpPr>
        <xdr:cNvPr id="12" name="TextBox 11">
          <a:extLst>
            <a:ext uri="{FF2B5EF4-FFF2-40B4-BE49-F238E27FC236}">
              <a16:creationId xmlns:a16="http://schemas.microsoft.com/office/drawing/2014/main" id="{43AB005D-411A-4478-92B7-450A6381E05E}"/>
            </a:ext>
          </a:extLst>
        </xdr:cNvPr>
        <xdr:cNvSpPr txBox="1"/>
      </xdr:nvSpPr>
      <xdr:spPr>
        <a:xfrm>
          <a:off x="3581400" y="352425"/>
          <a:ext cx="13239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Attrition</a:t>
          </a:r>
          <a:r>
            <a:rPr lang="en-IN" sz="1400" b="1" baseline="0">
              <a:solidFill>
                <a:schemeClr val="bg1"/>
              </a:solidFill>
              <a:latin typeface="Sitka Heading" pitchFamily="2" charset="0"/>
            </a:rPr>
            <a:t> Rate</a:t>
          </a:r>
          <a:endParaRPr lang="en-IN" sz="1400" b="1">
            <a:solidFill>
              <a:schemeClr val="bg1"/>
            </a:solidFill>
            <a:latin typeface="Sitka Heading" pitchFamily="2" charset="0"/>
          </a:endParaRPr>
        </a:p>
      </xdr:txBody>
    </xdr:sp>
    <xdr:clientData/>
  </xdr:twoCellAnchor>
  <xdr:twoCellAnchor editAs="oneCell">
    <xdr:from>
      <xdr:col>8</xdr:col>
      <xdr:colOff>147637</xdr:colOff>
      <xdr:row>0</xdr:row>
      <xdr:rowOff>114300</xdr:rowOff>
    </xdr:from>
    <xdr:to>
      <xdr:col>9</xdr:col>
      <xdr:colOff>123825</xdr:colOff>
      <xdr:row>3</xdr:row>
      <xdr:rowOff>95250</xdr:rowOff>
    </xdr:to>
    <xdr:pic>
      <xdr:nvPicPr>
        <xdr:cNvPr id="13" name="Graphic 12" descr="Money with solid fill">
          <a:extLst>
            <a:ext uri="{FF2B5EF4-FFF2-40B4-BE49-F238E27FC236}">
              <a16:creationId xmlns:a16="http://schemas.microsoft.com/office/drawing/2014/main" id="{0094BF27-C1D0-4777-838F-1E6B6C6FFC0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5024437" y="114300"/>
          <a:ext cx="585788" cy="552450"/>
        </a:xfrm>
        <a:prstGeom prst="rect">
          <a:avLst/>
        </a:prstGeom>
      </xdr:spPr>
    </xdr:pic>
    <xdr:clientData/>
  </xdr:twoCellAnchor>
  <xdr:twoCellAnchor>
    <xdr:from>
      <xdr:col>9</xdr:col>
      <xdr:colOff>276225</xdr:colOff>
      <xdr:row>0</xdr:row>
      <xdr:rowOff>57149</xdr:rowOff>
    </xdr:from>
    <xdr:to>
      <xdr:col>11</xdr:col>
      <xdr:colOff>238125</xdr:colOff>
      <xdr:row>1</xdr:row>
      <xdr:rowOff>171450</xdr:rowOff>
    </xdr:to>
    <xdr:sp macro="" textlink="$A$8">
      <xdr:nvSpPr>
        <xdr:cNvPr id="14" name="TextBox 13">
          <a:extLst>
            <a:ext uri="{FF2B5EF4-FFF2-40B4-BE49-F238E27FC236}">
              <a16:creationId xmlns:a16="http://schemas.microsoft.com/office/drawing/2014/main" id="{6A8D85DD-1900-4442-82A9-78702801991F}"/>
            </a:ext>
          </a:extLst>
        </xdr:cNvPr>
        <xdr:cNvSpPr txBox="1"/>
      </xdr:nvSpPr>
      <xdr:spPr>
        <a:xfrm>
          <a:off x="5762625" y="57149"/>
          <a:ext cx="1181100"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4E2274-E86C-4865-BB58-7BD8E3FCA497}" type="TxLink">
            <a:rPr lang="en-US" sz="1800" b="0" i="0" u="none" strike="noStrike">
              <a:solidFill>
                <a:schemeClr val="bg1"/>
              </a:solidFill>
              <a:latin typeface="Aptos Narrow"/>
              <a:ea typeface="+mn-ea"/>
              <a:cs typeface="+mn-cs"/>
            </a:rPr>
            <a:pPr marL="0" indent="0"/>
            <a:t> ₹ 82,763 </a:t>
          </a:fld>
          <a:endParaRPr lang="en-IN" sz="1800" b="0" i="0" u="none" strike="noStrike">
            <a:solidFill>
              <a:schemeClr val="bg1"/>
            </a:solidFill>
            <a:latin typeface="Aptos Narrow"/>
            <a:ea typeface="+mn-ea"/>
            <a:cs typeface="+mn-cs"/>
          </a:endParaRPr>
        </a:p>
      </xdr:txBody>
    </xdr:sp>
    <xdr:clientData/>
  </xdr:twoCellAnchor>
  <xdr:twoCellAnchor>
    <xdr:from>
      <xdr:col>9</xdr:col>
      <xdr:colOff>361950</xdr:colOff>
      <xdr:row>1</xdr:row>
      <xdr:rowOff>161924</xdr:rowOff>
    </xdr:from>
    <xdr:to>
      <xdr:col>11</xdr:col>
      <xdr:colOff>276225</xdr:colOff>
      <xdr:row>3</xdr:row>
      <xdr:rowOff>57149</xdr:rowOff>
    </xdr:to>
    <xdr:sp macro="" textlink="">
      <xdr:nvSpPr>
        <xdr:cNvPr id="15" name="TextBox 14">
          <a:extLst>
            <a:ext uri="{FF2B5EF4-FFF2-40B4-BE49-F238E27FC236}">
              <a16:creationId xmlns:a16="http://schemas.microsoft.com/office/drawing/2014/main" id="{DA665330-6D28-4520-993D-C8D4A1B5575A}"/>
            </a:ext>
          </a:extLst>
        </xdr:cNvPr>
        <xdr:cNvSpPr txBox="1"/>
      </xdr:nvSpPr>
      <xdr:spPr>
        <a:xfrm>
          <a:off x="5848350" y="352424"/>
          <a:ext cx="1133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Avg</a:t>
          </a:r>
          <a:r>
            <a:rPr lang="en-IN" sz="1400" b="1" baseline="0">
              <a:solidFill>
                <a:schemeClr val="bg1"/>
              </a:solidFill>
              <a:latin typeface="Sitka Heading" pitchFamily="2" charset="0"/>
            </a:rPr>
            <a:t> Salary</a:t>
          </a:r>
          <a:endParaRPr lang="en-IN" sz="1400" b="1">
            <a:solidFill>
              <a:schemeClr val="bg1"/>
            </a:solidFill>
            <a:latin typeface="Sitka Heading" pitchFamily="2" charset="0"/>
          </a:endParaRPr>
        </a:p>
      </xdr:txBody>
    </xdr:sp>
    <xdr:clientData/>
  </xdr:twoCellAnchor>
  <xdr:twoCellAnchor editAs="oneCell">
    <xdr:from>
      <xdr:col>11</xdr:col>
      <xdr:colOff>507205</xdr:colOff>
      <xdr:row>0</xdr:row>
      <xdr:rowOff>161925</xdr:rowOff>
    </xdr:from>
    <xdr:to>
      <xdr:col>12</xdr:col>
      <xdr:colOff>436662</xdr:colOff>
      <xdr:row>3</xdr:row>
      <xdr:rowOff>142875</xdr:rowOff>
    </xdr:to>
    <xdr:pic>
      <xdr:nvPicPr>
        <xdr:cNvPr id="16" name="Graphic 15" descr="Business Growth with solid fill">
          <a:extLst>
            <a:ext uri="{FF2B5EF4-FFF2-40B4-BE49-F238E27FC236}">
              <a16:creationId xmlns:a16="http://schemas.microsoft.com/office/drawing/2014/main" id="{4801414F-B356-44C9-8838-BF7F1ED52D4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7212805" y="161925"/>
          <a:ext cx="539057" cy="552450"/>
        </a:xfrm>
        <a:prstGeom prst="rect">
          <a:avLst/>
        </a:prstGeom>
      </xdr:spPr>
    </xdr:pic>
    <xdr:clientData/>
  </xdr:twoCellAnchor>
  <xdr:twoCellAnchor>
    <xdr:from>
      <xdr:col>13</xdr:col>
      <xdr:colOff>209551</xdr:colOff>
      <xdr:row>0</xdr:row>
      <xdr:rowOff>38099</xdr:rowOff>
    </xdr:from>
    <xdr:to>
      <xdr:col>14</xdr:col>
      <xdr:colOff>278419</xdr:colOff>
      <xdr:row>1</xdr:row>
      <xdr:rowOff>152400</xdr:rowOff>
    </xdr:to>
    <xdr:sp macro="" textlink="$A$9">
      <xdr:nvSpPr>
        <xdr:cNvPr id="17" name="TextBox 16">
          <a:extLst>
            <a:ext uri="{FF2B5EF4-FFF2-40B4-BE49-F238E27FC236}">
              <a16:creationId xmlns:a16="http://schemas.microsoft.com/office/drawing/2014/main" id="{6E5D915D-C88A-43AA-BAC6-D565A9F7FFF6}"/>
            </a:ext>
          </a:extLst>
        </xdr:cNvPr>
        <xdr:cNvSpPr txBox="1"/>
      </xdr:nvSpPr>
      <xdr:spPr>
        <a:xfrm>
          <a:off x="8134351" y="38099"/>
          <a:ext cx="678468"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E448AB-FCB2-4921-87D5-48AE25063AE0}" type="TxLink">
            <a:rPr lang="en-US" sz="1800" b="0" i="0" u="none" strike="noStrike">
              <a:solidFill>
                <a:schemeClr val="bg1"/>
              </a:solidFill>
              <a:latin typeface="Aptos Narrow"/>
              <a:ea typeface="+mn-ea"/>
              <a:cs typeface="+mn-cs"/>
            </a:rPr>
            <a:pPr marL="0" indent="0"/>
            <a:t>3.99</a:t>
          </a:fld>
          <a:endParaRPr lang="en-IN" sz="1800" b="0" i="0" u="none" strike="noStrike">
            <a:solidFill>
              <a:schemeClr val="bg1"/>
            </a:solidFill>
            <a:latin typeface="Aptos Narrow"/>
            <a:ea typeface="+mn-ea"/>
            <a:cs typeface="+mn-cs"/>
          </a:endParaRPr>
        </a:p>
      </xdr:txBody>
    </xdr:sp>
    <xdr:clientData/>
  </xdr:twoCellAnchor>
  <xdr:twoCellAnchor>
    <xdr:from>
      <xdr:col>12</xdr:col>
      <xdr:colOff>476250</xdr:colOff>
      <xdr:row>1</xdr:row>
      <xdr:rowOff>152399</xdr:rowOff>
    </xdr:from>
    <xdr:to>
      <xdr:col>15</xdr:col>
      <xdr:colOff>180975</xdr:colOff>
      <xdr:row>3</xdr:row>
      <xdr:rowOff>47624</xdr:rowOff>
    </xdr:to>
    <xdr:sp macro="" textlink="">
      <xdr:nvSpPr>
        <xdr:cNvPr id="18" name="TextBox 17">
          <a:extLst>
            <a:ext uri="{FF2B5EF4-FFF2-40B4-BE49-F238E27FC236}">
              <a16:creationId xmlns:a16="http://schemas.microsoft.com/office/drawing/2014/main" id="{17FE00DB-02D5-45C9-8807-4A8D3676DC29}"/>
            </a:ext>
          </a:extLst>
        </xdr:cNvPr>
        <xdr:cNvSpPr txBox="1"/>
      </xdr:nvSpPr>
      <xdr:spPr>
        <a:xfrm>
          <a:off x="7791450" y="342899"/>
          <a:ext cx="15335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Avg</a:t>
          </a:r>
          <a:r>
            <a:rPr lang="en-IN" sz="1400" b="1" baseline="0">
              <a:solidFill>
                <a:schemeClr val="bg1"/>
              </a:solidFill>
              <a:latin typeface="Sitka Heading" pitchFamily="2" charset="0"/>
            </a:rPr>
            <a:t> Performance</a:t>
          </a:r>
          <a:endParaRPr lang="en-IN" sz="1400" b="1">
            <a:solidFill>
              <a:schemeClr val="bg1"/>
            </a:solidFill>
            <a:latin typeface="Sitka Heading" pitchFamily="2" charset="0"/>
          </a:endParaRPr>
        </a:p>
      </xdr:txBody>
    </xdr:sp>
    <xdr:clientData/>
  </xdr:twoCellAnchor>
  <xdr:twoCellAnchor editAs="oneCell">
    <xdr:from>
      <xdr:col>15</xdr:col>
      <xdr:colOff>230981</xdr:colOff>
      <xdr:row>0</xdr:row>
      <xdr:rowOff>161925</xdr:rowOff>
    </xdr:from>
    <xdr:to>
      <xdr:col>16</xdr:col>
      <xdr:colOff>136837</xdr:colOff>
      <xdr:row>3</xdr:row>
      <xdr:rowOff>142875</xdr:rowOff>
    </xdr:to>
    <xdr:pic>
      <xdr:nvPicPr>
        <xdr:cNvPr id="19" name="Graphic 18" descr="Man and woman with solid fill">
          <a:extLst>
            <a:ext uri="{FF2B5EF4-FFF2-40B4-BE49-F238E27FC236}">
              <a16:creationId xmlns:a16="http://schemas.microsoft.com/office/drawing/2014/main" id="{857B2309-D9AA-4B0A-90BE-AD9340B91E0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9374981" y="161925"/>
          <a:ext cx="515456" cy="552450"/>
        </a:xfrm>
        <a:prstGeom prst="rect">
          <a:avLst/>
        </a:prstGeom>
      </xdr:spPr>
    </xdr:pic>
    <xdr:clientData/>
  </xdr:twoCellAnchor>
  <xdr:twoCellAnchor>
    <xdr:from>
      <xdr:col>16</xdr:col>
      <xdr:colOff>552450</xdr:colOff>
      <xdr:row>0</xdr:row>
      <xdr:rowOff>38099</xdr:rowOff>
    </xdr:from>
    <xdr:to>
      <xdr:col>18</xdr:col>
      <xdr:colOff>150870</xdr:colOff>
      <xdr:row>1</xdr:row>
      <xdr:rowOff>152400</xdr:rowOff>
    </xdr:to>
    <xdr:sp macro="" textlink="$A$10">
      <xdr:nvSpPr>
        <xdr:cNvPr id="20" name="TextBox 19">
          <a:extLst>
            <a:ext uri="{FF2B5EF4-FFF2-40B4-BE49-F238E27FC236}">
              <a16:creationId xmlns:a16="http://schemas.microsoft.com/office/drawing/2014/main" id="{56865FCA-8A0C-4AD4-9603-32AF06C93D66}"/>
            </a:ext>
          </a:extLst>
        </xdr:cNvPr>
        <xdr:cNvSpPr txBox="1"/>
      </xdr:nvSpPr>
      <xdr:spPr>
        <a:xfrm>
          <a:off x="10306050" y="38099"/>
          <a:ext cx="817620"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3EA4933-00F9-4637-A6B5-E572540FEDC1}" type="TxLink">
            <a:rPr lang="en-US" sz="1800" b="0" i="0" u="none" strike="noStrike">
              <a:solidFill>
                <a:schemeClr val="bg1"/>
              </a:solidFill>
              <a:latin typeface="Aptos Narrow"/>
              <a:ea typeface="+mn-ea"/>
              <a:cs typeface="+mn-cs"/>
            </a:rPr>
            <a:pPr marL="0" indent="0"/>
            <a:t>100%</a:t>
          </a:fld>
          <a:endParaRPr lang="en-IN" sz="1800" b="0" i="0" u="none" strike="noStrike">
            <a:solidFill>
              <a:schemeClr val="bg1"/>
            </a:solidFill>
            <a:latin typeface="Aptos Narrow"/>
            <a:ea typeface="+mn-ea"/>
            <a:cs typeface="+mn-cs"/>
          </a:endParaRPr>
        </a:p>
      </xdr:txBody>
    </xdr:sp>
    <xdr:clientData/>
  </xdr:twoCellAnchor>
  <xdr:twoCellAnchor>
    <xdr:from>
      <xdr:col>16</xdr:col>
      <xdr:colOff>361951</xdr:colOff>
      <xdr:row>1</xdr:row>
      <xdr:rowOff>133349</xdr:rowOff>
    </xdr:from>
    <xdr:to>
      <xdr:col>18</xdr:col>
      <xdr:colOff>280309</xdr:colOff>
      <xdr:row>3</xdr:row>
      <xdr:rowOff>28574</xdr:rowOff>
    </xdr:to>
    <xdr:sp macro="" textlink="">
      <xdr:nvSpPr>
        <xdr:cNvPr id="21" name="TextBox 20">
          <a:extLst>
            <a:ext uri="{FF2B5EF4-FFF2-40B4-BE49-F238E27FC236}">
              <a16:creationId xmlns:a16="http://schemas.microsoft.com/office/drawing/2014/main" id="{69E24FD4-CB8C-47A6-9ADD-A07E1EC464EB}"/>
            </a:ext>
          </a:extLst>
        </xdr:cNvPr>
        <xdr:cNvSpPr txBox="1"/>
      </xdr:nvSpPr>
      <xdr:spPr>
        <a:xfrm>
          <a:off x="10115551" y="323849"/>
          <a:ext cx="1137558"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Diversity</a:t>
          </a:r>
          <a:r>
            <a:rPr lang="en-IN" sz="1400" b="1" baseline="0">
              <a:solidFill>
                <a:schemeClr val="bg1"/>
              </a:solidFill>
              <a:latin typeface="Sitka Heading" pitchFamily="2" charset="0"/>
            </a:rPr>
            <a:t> %</a:t>
          </a:r>
          <a:endParaRPr lang="en-IN" sz="1400" b="1">
            <a:solidFill>
              <a:schemeClr val="bg1"/>
            </a:solidFill>
            <a:latin typeface="Sitka Heading" pitchFamily="2" charset="0"/>
          </a:endParaRPr>
        </a:p>
      </xdr:txBody>
    </xdr:sp>
    <xdr:clientData/>
  </xdr:twoCellAnchor>
  <xdr:twoCellAnchor editAs="oneCell">
    <xdr:from>
      <xdr:col>18</xdr:col>
      <xdr:colOff>381000</xdr:colOff>
      <xdr:row>0</xdr:row>
      <xdr:rowOff>47626</xdr:rowOff>
    </xdr:from>
    <xdr:to>
      <xdr:col>21</xdr:col>
      <xdr:colOff>408226</xdr:colOff>
      <xdr:row>3</xdr:row>
      <xdr:rowOff>124126</xdr:rowOff>
    </xdr:to>
    <mc:AlternateContent xmlns:mc="http://schemas.openxmlformats.org/markup-compatibility/2006" xmlns:a14="http://schemas.microsoft.com/office/drawing/2010/main">
      <mc:Choice Requires="a14">
        <xdr:graphicFrame macro="">
          <xdr:nvGraphicFramePr>
            <xdr:cNvPr id="22" name="Gender 1">
              <a:extLst>
                <a:ext uri="{FF2B5EF4-FFF2-40B4-BE49-F238E27FC236}">
                  <a16:creationId xmlns:a16="http://schemas.microsoft.com/office/drawing/2014/main" id="{861A85AF-8E82-4DCD-9C64-931F3935AD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353800" y="47626"/>
              <a:ext cx="1856026"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18</xdr:row>
      <xdr:rowOff>47624</xdr:rowOff>
    </xdr:from>
    <xdr:to>
      <xdr:col>21</xdr:col>
      <xdr:colOff>415650</xdr:colOff>
      <xdr:row>29</xdr:row>
      <xdr:rowOff>66675</xdr:rowOff>
    </xdr:to>
    <mc:AlternateContent xmlns:mc="http://schemas.openxmlformats.org/markup-compatibility/2006" xmlns:a14="http://schemas.microsoft.com/office/drawing/2010/main">
      <mc:Choice Requires="a14">
        <xdr:graphicFrame macro="">
          <xdr:nvGraphicFramePr>
            <xdr:cNvPr id="23" name="Department 1">
              <a:extLst>
                <a:ext uri="{FF2B5EF4-FFF2-40B4-BE49-F238E27FC236}">
                  <a16:creationId xmlns:a16="http://schemas.microsoft.com/office/drawing/2014/main" id="{1ECEF807-ABE3-4EEE-863C-76F00F969E7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353800" y="3276600"/>
              <a:ext cx="1863450" cy="1990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3</xdr:row>
      <xdr:rowOff>152400</xdr:rowOff>
    </xdr:from>
    <xdr:to>
      <xdr:col>21</xdr:col>
      <xdr:colOff>408226</xdr:colOff>
      <xdr:row>7</xdr:row>
      <xdr:rowOff>2400</xdr:rowOff>
    </xdr:to>
    <mc:AlternateContent xmlns:mc="http://schemas.openxmlformats.org/markup-compatibility/2006" xmlns:a14="http://schemas.microsoft.com/office/drawing/2010/main">
      <mc:Choice Requires="a14">
        <xdr:graphicFrame macro="">
          <xdr:nvGraphicFramePr>
            <xdr:cNvPr id="24" name="Attrition 1">
              <a:extLst>
                <a:ext uri="{FF2B5EF4-FFF2-40B4-BE49-F238E27FC236}">
                  <a16:creationId xmlns:a16="http://schemas.microsoft.com/office/drawing/2014/main" id="{DF02797F-0C26-407B-9587-7A5AE3CC4DE3}"/>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11353800" y="723900"/>
              <a:ext cx="1856026"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7</xdr:row>
      <xdr:rowOff>28575</xdr:rowOff>
    </xdr:from>
    <xdr:to>
      <xdr:col>21</xdr:col>
      <xdr:colOff>415650</xdr:colOff>
      <xdr:row>17</xdr:row>
      <xdr:rowOff>161925</xdr:rowOff>
    </xdr:to>
    <mc:AlternateContent xmlns:mc="http://schemas.openxmlformats.org/markup-compatibility/2006" xmlns:a14="http://schemas.microsoft.com/office/drawing/2010/main">
      <mc:Choice Requires="a14">
        <xdr:graphicFrame macro="">
          <xdr:nvGraphicFramePr>
            <xdr:cNvPr id="25" name="WorkLocation 1">
              <a:extLst>
                <a:ext uri="{FF2B5EF4-FFF2-40B4-BE49-F238E27FC236}">
                  <a16:creationId xmlns:a16="http://schemas.microsoft.com/office/drawing/2014/main" id="{23AC68CE-C324-43E5-AADF-ABA7E95D58D9}"/>
                </a:ext>
              </a:extLst>
            </xdr:cNvPr>
            <xdr:cNvGraphicFramePr/>
          </xdr:nvGraphicFramePr>
          <xdr:xfrm>
            <a:off x="0" y="0"/>
            <a:ext cx="0" cy="0"/>
          </xdr:xfrm>
          <a:graphic>
            <a:graphicData uri="http://schemas.microsoft.com/office/drawing/2010/slicer">
              <sle:slicer xmlns:sle="http://schemas.microsoft.com/office/drawing/2010/slicer" name="WorkLocation 1"/>
            </a:graphicData>
          </a:graphic>
        </xdr:graphicFrame>
      </mc:Choice>
      <mc:Fallback xmlns="">
        <xdr:sp macro="" textlink="">
          <xdr:nvSpPr>
            <xdr:cNvPr id="0" name=""/>
            <xdr:cNvSpPr>
              <a:spLocks noTextEdit="1"/>
            </xdr:cNvSpPr>
          </xdr:nvSpPr>
          <xdr:spPr>
            <a:xfrm>
              <a:off x="11353800" y="1362075"/>
              <a:ext cx="1863450" cy="1885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104774</xdr:colOff>
      <xdr:row>5</xdr:row>
      <xdr:rowOff>0</xdr:rowOff>
    </xdr:from>
    <xdr:to>
      <xdr:col>7</xdr:col>
      <xdr:colOff>552449</xdr:colOff>
      <xdr:row>17</xdr:row>
      <xdr:rowOff>104775</xdr:rowOff>
    </xdr:to>
    <xdr:graphicFrame macro="">
      <xdr:nvGraphicFramePr>
        <xdr:cNvPr id="26" name="Chart 25">
          <a:extLst>
            <a:ext uri="{FF2B5EF4-FFF2-40B4-BE49-F238E27FC236}">
              <a16:creationId xmlns:a16="http://schemas.microsoft.com/office/drawing/2014/main" id="{24A2B7AF-9E5B-49A5-A90E-CC3AB07BF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85725</xdr:colOff>
      <xdr:row>5</xdr:row>
      <xdr:rowOff>9525</xdr:rowOff>
    </xdr:from>
    <xdr:to>
      <xdr:col>18</xdr:col>
      <xdr:colOff>304800</xdr:colOff>
      <xdr:row>17</xdr:row>
      <xdr:rowOff>85725</xdr:rowOff>
    </xdr:to>
    <xdr:graphicFrame macro="">
      <xdr:nvGraphicFramePr>
        <xdr:cNvPr id="27" name="Chart 26">
          <a:extLst>
            <a:ext uri="{FF2B5EF4-FFF2-40B4-BE49-F238E27FC236}">
              <a16:creationId xmlns:a16="http://schemas.microsoft.com/office/drawing/2014/main" id="{E75FB63D-5FB8-4058-89A2-A2250A612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104775</xdr:colOff>
      <xdr:row>17</xdr:row>
      <xdr:rowOff>133350</xdr:rowOff>
    </xdr:from>
    <xdr:to>
      <xdr:col>7</xdr:col>
      <xdr:colOff>1</xdr:colOff>
      <xdr:row>29</xdr:row>
      <xdr:rowOff>104775</xdr:rowOff>
    </xdr:to>
    <xdr:graphicFrame macro="">
      <xdr:nvGraphicFramePr>
        <xdr:cNvPr id="30" name="Chart 29">
          <a:extLst>
            <a:ext uri="{FF2B5EF4-FFF2-40B4-BE49-F238E27FC236}">
              <a16:creationId xmlns:a16="http://schemas.microsoft.com/office/drawing/2014/main" id="{E6F4C096-D72E-49D6-8763-5A7D038DB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95251</xdr:colOff>
      <xdr:row>17</xdr:row>
      <xdr:rowOff>142875</xdr:rowOff>
    </xdr:from>
    <xdr:to>
      <xdr:col>12</xdr:col>
      <xdr:colOff>295275</xdr:colOff>
      <xdr:row>29</xdr:row>
      <xdr:rowOff>95250</xdr:rowOff>
    </xdr:to>
    <xdr:graphicFrame macro="">
      <xdr:nvGraphicFramePr>
        <xdr:cNvPr id="31" name="Chart 30">
          <a:extLst>
            <a:ext uri="{FF2B5EF4-FFF2-40B4-BE49-F238E27FC236}">
              <a16:creationId xmlns:a16="http://schemas.microsoft.com/office/drawing/2014/main" id="{7DDFCEE8-050E-4E81-AB6F-D1AB5E07F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371475</xdr:colOff>
      <xdr:row>17</xdr:row>
      <xdr:rowOff>142875</xdr:rowOff>
    </xdr:from>
    <xdr:to>
      <xdr:col>18</xdr:col>
      <xdr:colOff>285750</xdr:colOff>
      <xdr:row>29</xdr:row>
      <xdr:rowOff>95250</xdr:rowOff>
    </xdr:to>
    <xdr:graphicFrame macro="">
      <xdr:nvGraphicFramePr>
        <xdr:cNvPr id="32" name="Chart 31">
          <a:extLst>
            <a:ext uri="{FF2B5EF4-FFF2-40B4-BE49-F238E27FC236}">
              <a16:creationId xmlns:a16="http://schemas.microsoft.com/office/drawing/2014/main" id="{CC671F6E-FACC-4E56-AE90-4D0AE6017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47625</xdr:colOff>
      <xdr:row>0</xdr:row>
      <xdr:rowOff>180975</xdr:rowOff>
    </xdr:from>
    <xdr:to>
      <xdr:col>0</xdr:col>
      <xdr:colOff>523875</xdr:colOff>
      <xdr:row>3</xdr:row>
      <xdr:rowOff>142875</xdr:rowOff>
    </xdr:to>
    <xdr:sp macro="" textlink="">
      <xdr:nvSpPr>
        <xdr:cNvPr id="28" name="Arrow: Left 27">
          <a:extLst>
            <a:ext uri="{FF2B5EF4-FFF2-40B4-BE49-F238E27FC236}">
              <a16:creationId xmlns:a16="http://schemas.microsoft.com/office/drawing/2014/main" id="{CA605689-DFC4-8D26-F15A-F9BDF09E2FA5}"/>
            </a:ext>
          </a:extLst>
        </xdr:cNvPr>
        <xdr:cNvSpPr/>
      </xdr:nvSpPr>
      <xdr:spPr>
        <a:xfrm>
          <a:off x="47625" y="180975"/>
          <a:ext cx="476250" cy="533400"/>
        </a:xfrm>
        <a:prstGeom prst="leftArrow">
          <a:avLst/>
        </a:prstGeom>
        <a:solidFill>
          <a:schemeClr val="bg1">
            <a:lumMod val="6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104775</xdr:colOff>
      <xdr:row>1</xdr:row>
      <xdr:rowOff>123825</xdr:rowOff>
    </xdr:from>
    <xdr:to>
      <xdr:col>1</xdr:col>
      <xdr:colOff>0</xdr:colOff>
      <xdr:row>3</xdr:row>
      <xdr:rowOff>19050</xdr:rowOff>
    </xdr:to>
    <xdr:sp macro="" textlink="">
      <xdr:nvSpPr>
        <xdr:cNvPr id="33" name="TextBox 32">
          <a:hlinkClick xmlns:r="http://schemas.openxmlformats.org/officeDocument/2006/relationships" r:id="rId16"/>
          <a:extLst>
            <a:ext uri="{FF2B5EF4-FFF2-40B4-BE49-F238E27FC236}">
              <a16:creationId xmlns:a16="http://schemas.microsoft.com/office/drawing/2014/main" id="{161E3DE2-481A-757E-AEDE-AA7CE43EC8B9}"/>
            </a:ext>
          </a:extLst>
        </xdr:cNvPr>
        <xdr:cNvSpPr txBox="1"/>
      </xdr:nvSpPr>
      <xdr:spPr>
        <a:xfrm>
          <a:off x="104775" y="314325"/>
          <a:ext cx="5048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rPr>
            <a:t>Back</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590551</xdr:colOff>
      <xdr:row>0</xdr:row>
      <xdr:rowOff>57150</xdr:rowOff>
    </xdr:from>
    <xdr:to>
      <xdr:col>4</xdr:col>
      <xdr:colOff>266701</xdr:colOff>
      <xdr:row>4</xdr:row>
      <xdr:rowOff>57150</xdr:rowOff>
    </xdr:to>
    <xdr:sp macro="" textlink="">
      <xdr:nvSpPr>
        <xdr:cNvPr id="2" name="Rectangle: Rounded Corners 1">
          <a:extLst>
            <a:ext uri="{FF2B5EF4-FFF2-40B4-BE49-F238E27FC236}">
              <a16:creationId xmlns:a16="http://schemas.microsoft.com/office/drawing/2014/main" id="{BFC9B951-DFB4-4554-94C3-8334BE04A14F}"/>
            </a:ext>
          </a:extLst>
        </xdr:cNvPr>
        <xdr:cNvSpPr/>
      </xdr:nvSpPr>
      <xdr:spPr>
        <a:xfrm>
          <a:off x="590551" y="57150"/>
          <a:ext cx="2114550" cy="762000"/>
        </a:xfrm>
        <a:prstGeom prst="roundRect">
          <a:avLst/>
        </a:prstGeom>
        <a:solidFill>
          <a:srgbClr val="FF0000">
            <a:alpha val="92000"/>
          </a:srgbClr>
        </a:solidFill>
        <a:ln>
          <a:noFill/>
          <a:prstDash val="sysDash"/>
        </a:ln>
        <a:effectLst>
          <a:outerShdw blurRad="762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a:noFill/>
            </a:ln>
            <a:solidFill>
              <a:schemeClr val="tx1"/>
            </a:solidFill>
            <a:effectLst/>
          </a:endParaRPr>
        </a:p>
      </xdr:txBody>
    </xdr:sp>
    <xdr:clientData/>
  </xdr:twoCellAnchor>
  <xdr:twoCellAnchor>
    <xdr:from>
      <xdr:col>4</xdr:col>
      <xdr:colOff>314326</xdr:colOff>
      <xdr:row>0</xdr:row>
      <xdr:rowOff>57150</xdr:rowOff>
    </xdr:from>
    <xdr:to>
      <xdr:col>8</xdr:col>
      <xdr:colOff>19050</xdr:colOff>
      <xdr:row>4</xdr:row>
      <xdr:rowOff>57150</xdr:rowOff>
    </xdr:to>
    <xdr:sp macro="" textlink="">
      <xdr:nvSpPr>
        <xdr:cNvPr id="3" name="Rectangle: Rounded Corners 2">
          <a:extLst>
            <a:ext uri="{FF2B5EF4-FFF2-40B4-BE49-F238E27FC236}">
              <a16:creationId xmlns:a16="http://schemas.microsoft.com/office/drawing/2014/main" id="{65DF8444-3D1E-41DC-8D32-B5B676448C40}"/>
            </a:ext>
          </a:extLst>
        </xdr:cNvPr>
        <xdr:cNvSpPr/>
      </xdr:nvSpPr>
      <xdr:spPr>
        <a:xfrm>
          <a:off x="2752726" y="57150"/>
          <a:ext cx="2143124" cy="762000"/>
        </a:xfrm>
        <a:prstGeom prst="roundRect">
          <a:avLst/>
        </a:prstGeom>
        <a:effectLst>
          <a:innerShdw blurRad="139700">
            <a:schemeClr val="accent2">
              <a:lumMod val="50000"/>
            </a:schemeClr>
          </a:inn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76200</xdr:colOff>
      <xdr:row>0</xdr:row>
      <xdr:rowOff>57150</xdr:rowOff>
    </xdr:from>
    <xdr:to>
      <xdr:col>11</xdr:col>
      <xdr:colOff>381000</xdr:colOff>
      <xdr:row>4</xdr:row>
      <xdr:rowOff>57150</xdr:rowOff>
    </xdr:to>
    <xdr:sp macro="" textlink="">
      <xdr:nvSpPr>
        <xdr:cNvPr id="4" name="Rectangle: Rounded Corners 3">
          <a:extLst>
            <a:ext uri="{FF2B5EF4-FFF2-40B4-BE49-F238E27FC236}">
              <a16:creationId xmlns:a16="http://schemas.microsoft.com/office/drawing/2014/main" id="{99E369BD-27A5-4417-8E8A-FDD898D25390}"/>
            </a:ext>
          </a:extLst>
        </xdr:cNvPr>
        <xdr:cNvSpPr/>
      </xdr:nvSpPr>
      <xdr:spPr>
        <a:xfrm>
          <a:off x="4953000" y="57150"/>
          <a:ext cx="2133600" cy="762000"/>
        </a:xfrm>
        <a:prstGeom prst="roundRect">
          <a:avLst/>
        </a:prstGeom>
        <a:ln>
          <a:noFill/>
        </a:ln>
        <a:effectLst>
          <a:outerShdw blurRad="76200" dist="38100" dir="2700000" algn="tl" rotWithShape="0">
            <a:schemeClr val="bg1">
              <a:lumMod val="50000"/>
              <a:alpha val="40000"/>
            </a:scheme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428626</xdr:colOff>
      <xdr:row>0</xdr:row>
      <xdr:rowOff>57150</xdr:rowOff>
    </xdr:from>
    <xdr:to>
      <xdr:col>15</xdr:col>
      <xdr:colOff>190500</xdr:colOff>
      <xdr:row>4</xdr:row>
      <xdr:rowOff>57150</xdr:rowOff>
    </xdr:to>
    <xdr:sp macro="" textlink="">
      <xdr:nvSpPr>
        <xdr:cNvPr id="5" name="Rectangle: Rounded Corners 4">
          <a:extLst>
            <a:ext uri="{FF2B5EF4-FFF2-40B4-BE49-F238E27FC236}">
              <a16:creationId xmlns:a16="http://schemas.microsoft.com/office/drawing/2014/main" id="{C5AA5458-EFFE-4136-9F67-A64B6E8F64D3}"/>
            </a:ext>
          </a:extLst>
        </xdr:cNvPr>
        <xdr:cNvSpPr/>
      </xdr:nvSpPr>
      <xdr:spPr>
        <a:xfrm>
          <a:off x="7134226" y="57150"/>
          <a:ext cx="2200274" cy="762000"/>
        </a:xfrm>
        <a:prstGeom prst="roundRect">
          <a:avLst/>
        </a:prstGeom>
        <a:ln>
          <a:noFill/>
        </a:ln>
        <a:effectLst>
          <a:outerShdw blurRad="76200" dist="38100" dir="2700000" algn="tl" rotWithShape="0">
            <a:schemeClr val="bg1">
              <a:lumMod val="50000"/>
              <a:alpha val="40000"/>
            </a:scheme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228601</xdr:colOff>
      <xdr:row>0</xdr:row>
      <xdr:rowOff>57150</xdr:rowOff>
    </xdr:from>
    <xdr:to>
      <xdr:col>18</xdr:col>
      <xdr:colOff>333375</xdr:colOff>
      <xdr:row>4</xdr:row>
      <xdr:rowOff>57150</xdr:rowOff>
    </xdr:to>
    <xdr:sp macro="" textlink="">
      <xdr:nvSpPr>
        <xdr:cNvPr id="6" name="Rectangle: Rounded Corners 5">
          <a:extLst>
            <a:ext uri="{FF2B5EF4-FFF2-40B4-BE49-F238E27FC236}">
              <a16:creationId xmlns:a16="http://schemas.microsoft.com/office/drawing/2014/main" id="{5FED2CAE-3229-4187-B7DD-4EE0C7E8B7D4}"/>
            </a:ext>
          </a:extLst>
        </xdr:cNvPr>
        <xdr:cNvSpPr/>
      </xdr:nvSpPr>
      <xdr:spPr>
        <a:xfrm>
          <a:off x="9372601" y="57150"/>
          <a:ext cx="1933574" cy="762000"/>
        </a:xfrm>
        <a:prstGeom prst="roundRect">
          <a:avLst/>
        </a:prstGeom>
        <a:ln>
          <a:noFill/>
        </a:ln>
        <a:effectLst>
          <a:outerShdw blurRad="76200" dist="38100" dir="2700000" algn="tl" rotWithShape="0">
            <a:schemeClr val="bg1">
              <a:lumMod val="50000"/>
              <a:alpha val="40000"/>
            </a:scheme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571500</xdr:colOff>
      <xdr:row>0</xdr:row>
      <xdr:rowOff>47624</xdr:rowOff>
    </xdr:from>
    <xdr:to>
      <xdr:col>4</xdr:col>
      <xdr:colOff>47625</xdr:colOff>
      <xdr:row>1</xdr:row>
      <xdr:rowOff>161925</xdr:rowOff>
    </xdr:to>
    <xdr:sp macro="" textlink="$A$6">
      <xdr:nvSpPr>
        <xdr:cNvPr id="7" name="TextBox 6">
          <a:extLst>
            <a:ext uri="{FF2B5EF4-FFF2-40B4-BE49-F238E27FC236}">
              <a16:creationId xmlns:a16="http://schemas.microsoft.com/office/drawing/2014/main" id="{588C45E0-0522-4502-8463-73BD859A1D58}"/>
            </a:ext>
          </a:extLst>
        </xdr:cNvPr>
        <xdr:cNvSpPr txBox="1"/>
      </xdr:nvSpPr>
      <xdr:spPr>
        <a:xfrm>
          <a:off x="1790700" y="47624"/>
          <a:ext cx="69532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2FCAA9-9AFB-461E-A7A7-70A5D6B91F8C}" type="TxLink">
            <a:rPr lang="en-US" sz="1800" b="0" i="0" u="none" strike="noStrike">
              <a:solidFill>
                <a:schemeClr val="bg1"/>
              </a:solidFill>
              <a:latin typeface="Aptos Narrow"/>
            </a:rPr>
            <a:pPr/>
            <a:t>300</a:t>
          </a:fld>
          <a:endParaRPr lang="en-IN" sz="1800">
            <a:solidFill>
              <a:schemeClr val="bg1"/>
            </a:solidFill>
          </a:endParaRPr>
        </a:p>
      </xdr:txBody>
    </xdr:sp>
    <xdr:clientData/>
  </xdr:twoCellAnchor>
  <xdr:twoCellAnchor editAs="oneCell">
    <xdr:from>
      <xdr:col>1</xdr:col>
      <xdr:colOff>142876</xdr:colOff>
      <xdr:row>0</xdr:row>
      <xdr:rowOff>114302</xdr:rowOff>
    </xdr:from>
    <xdr:to>
      <xdr:col>2</xdr:col>
      <xdr:colOff>171450</xdr:colOff>
      <xdr:row>3</xdr:row>
      <xdr:rowOff>180976</xdr:rowOff>
    </xdr:to>
    <xdr:pic>
      <xdr:nvPicPr>
        <xdr:cNvPr id="8" name="Graphic 7" descr="Connections with solid fill">
          <a:extLst>
            <a:ext uri="{FF2B5EF4-FFF2-40B4-BE49-F238E27FC236}">
              <a16:creationId xmlns:a16="http://schemas.microsoft.com/office/drawing/2014/main" id="{88319C14-1FF6-4077-8927-422B5FFF08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752476" y="114302"/>
          <a:ext cx="638174" cy="638174"/>
        </a:xfrm>
        <a:prstGeom prst="rect">
          <a:avLst/>
        </a:prstGeom>
      </xdr:spPr>
    </xdr:pic>
    <xdr:clientData/>
  </xdr:twoCellAnchor>
  <xdr:twoCellAnchor>
    <xdr:from>
      <xdr:col>2</xdr:col>
      <xdr:colOff>314325</xdr:colOff>
      <xdr:row>1</xdr:row>
      <xdr:rowOff>161924</xdr:rowOff>
    </xdr:from>
    <xdr:to>
      <xdr:col>4</xdr:col>
      <xdr:colOff>247650</xdr:colOff>
      <xdr:row>3</xdr:row>
      <xdr:rowOff>57149</xdr:rowOff>
    </xdr:to>
    <xdr:sp macro="" textlink="">
      <xdr:nvSpPr>
        <xdr:cNvPr id="9" name="TextBox 8">
          <a:extLst>
            <a:ext uri="{FF2B5EF4-FFF2-40B4-BE49-F238E27FC236}">
              <a16:creationId xmlns:a16="http://schemas.microsoft.com/office/drawing/2014/main" id="{5B5688A6-6476-485A-AFAE-A9937D437F8C}"/>
            </a:ext>
          </a:extLst>
        </xdr:cNvPr>
        <xdr:cNvSpPr txBox="1"/>
      </xdr:nvSpPr>
      <xdr:spPr>
        <a:xfrm>
          <a:off x="1533525" y="352424"/>
          <a:ext cx="11525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Head Count</a:t>
          </a:r>
        </a:p>
      </xdr:txBody>
    </xdr:sp>
    <xdr:clientData/>
  </xdr:twoCellAnchor>
  <xdr:twoCellAnchor editAs="oneCell">
    <xdr:from>
      <xdr:col>4</xdr:col>
      <xdr:colOff>457201</xdr:colOff>
      <xdr:row>0</xdr:row>
      <xdr:rowOff>152401</xdr:rowOff>
    </xdr:from>
    <xdr:to>
      <xdr:col>5</xdr:col>
      <xdr:colOff>441186</xdr:colOff>
      <xdr:row>3</xdr:row>
      <xdr:rowOff>133351</xdr:rowOff>
    </xdr:to>
    <xdr:pic>
      <xdr:nvPicPr>
        <xdr:cNvPr id="10" name="Graphic 9" descr="Questions with solid fill">
          <a:extLst>
            <a:ext uri="{FF2B5EF4-FFF2-40B4-BE49-F238E27FC236}">
              <a16:creationId xmlns:a16="http://schemas.microsoft.com/office/drawing/2014/main" id="{F9099D25-C630-41F3-8241-4A3139D4560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95601" y="152401"/>
          <a:ext cx="593585" cy="552450"/>
        </a:xfrm>
        <a:prstGeom prst="rect">
          <a:avLst/>
        </a:prstGeom>
      </xdr:spPr>
    </xdr:pic>
    <xdr:clientData/>
  </xdr:twoCellAnchor>
  <xdr:twoCellAnchor>
    <xdr:from>
      <xdr:col>6</xdr:col>
      <xdr:colOff>371475</xdr:colOff>
      <xdr:row>0</xdr:row>
      <xdr:rowOff>38100</xdr:rowOff>
    </xdr:from>
    <xdr:to>
      <xdr:col>7</xdr:col>
      <xdr:colOff>408618</xdr:colOff>
      <xdr:row>1</xdr:row>
      <xdr:rowOff>152401</xdr:rowOff>
    </xdr:to>
    <xdr:sp macro="" textlink="$A$7">
      <xdr:nvSpPr>
        <xdr:cNvPr id="11" name="TextBox 10">
          <a:extLst>
            <a:ext uri="{FF2B5EF4-FFF2-40B4-BE49-F238E27FC236}">
              <a16:creationId xmlns:a16="http://schemas.microsoft.com/office/drawing/2014/main" id="{61A6B02E-7A00-4C8D-B49E-F6CF3E9453A1}"/>
            </a:ext>
          </a:extLst>
        </xdr:cNvPr>
        <xdr:cNvSpPr txBox="1"/>
      </xdr:nvSpPr>
      <xdr:spPr>
        <a:xfrm>
          <a:off x="4029075" y="38100"/>
          <a:ext cx="646743"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12ED09E-E73E-4330-B4DF-1BADE950B180}" type="TxLink">
            <a:rPr lang="en-US" sz="1800" b="0" i="0" u="none" strike="noStrike">
              <a:solidFill>
                <a:schemeClr val="bg1"/>
              </a:solidFill>
              <a:latin typeface="Aptos Narrow"/>
              <a:ea typeface="+mn-ea"/>
              <a:cs typeface="+mn-cs"/>
            </a:rPr>
            <a:pPr marL="0" indent="0"/>
            <a:t>23%</a:t>
          </a:fld>
          <a:endParaRPr lang="en-IN" sz="1800" b="0" i="0" u="none" strike="noStrike">
            <a:solidFill>
              <a:schemeClr val="bg1"/>
            </a:solidFill>
            <a:latin typeface="Aptos Narrow"/>
            <a:ea typeface="+mn-ea"/>
            <a:cs typeface="+mn-cs"/>
          </a:endParaRPr>
        </a:p>
      </xdr:txBody>
    </xdr:sp>
    <xdr:clientData/>
  </xdr:twoCellAnchor>
  <xdr:twoCellAnchor>
    <xdr:from>
      <xdr:col>5</xdr:col>
      <xdr:colOff>447675</xdr:colOff>
      <xdr:row>1</xdr:row>
      <xdr:rowOff>161925</xdr:rowOff>
    </xdr:from>
    <xdr:to>
      <xdr:col>7</xdr:col>
      <xdr:colOff>564721</xdr:colOff>
      <xdr:row>3</xdr:row>
      <xdr:rowOff>57150</xdr:rowOff>
    </xdr:to>
    <xdr:sp macro="" textlink="">
      <xdr:nvSpPr>
        <xdr:cNvPr id="12" name="TextBox 11">
          <a:extLst>
            <a:ext uri="{FF2B5EF4-FFF2-40B4-BE49-F238E27FC236}">
              <a16:creationId xmlns:a16="http://schemas.microsoft.com/office/drawing/2014/main" id="{3F738BD6-7A46-434A-A926-6ACADA2D69FA}"/>
            </a:ext>
          </a:extLst>
        </xdr:cNvPr>
        <xdr:cNvSpPr txBox="1"/>
      </xdr:nvSpPr>
      <xdr:spPr>
        <a:xfrm>
          <a:off x="3495675" y="352425"/>
          <a:ext cx="133624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Attrition</a:t>
          </a:r>
          <a:r>
            <a:rPr lang="en-IN" sz="1400" b="1" baseline="0">
              <a:solidFill>
                <a:schemeClr val="bg1"/>
              </a:solidFill>
              <a:latin typeface="Sitka Heading" pitchFamily="2" charset="0"/>
            </a:rPr>
            <a:t> Rate</a:t>
          </a:r>
          <a:endParaRPr lang="en-IN" sz="1400" b="1">
            <a:solidFill>
              <a:schemeClr val="bg1"/>
            </a:solidFill>
            <a:latin typeface="Sitka Heading" pitchFamily="2" charset="0"/>
          </a:endParaRPr>
        </a:p>
      </xdr:txBody>
    </xdr:sp>
    <xdr:clientData/>
  </xdr:twoCellAnchor>
  <xdr:twoCellAnchor editAs="oneCell">
    <xdr:from>
      <xdr:col>8</xdr:col>
      <xdr:colOff>195262</xdr:colOff>
      <xdr:row>0</xdr:row>
      <xdr:rowOff>114300</xdr:rowOff>
    </xdr:from>
    <xdr:to>
      <xdr:col>9</xdr:col>
      <xdr:colOff>171450</xdr:colOff>
      <xdr:row>3</xdr:row>
      <xdr:rowOff>95250</xdr:rowOff>
    </xdr:to>
    <xdr:pic>
      <xdr:nvPicPr>
        <xdr:cNvPr id="13" name="Graphic 12" descr="Money with solid fill">
          <a:extLst>
            <a:ext uri="{FF2B5EF4-FFF2-40B4-BE49-F238E27FC236}">
              <a16:creationId xmlns:a16="http://schemas.microsoft.com/office/drawing/2014/main" id="{0F62B4D6-1489-4BFC-B88D-BAFFF857267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5072062" y="114300"/>
          <a:ext cx="585788" cy="552450"/>
        </a:xfrm>
        <a:prstGeom prst="rect">
          <a:avLst/>
        </a:prstGeom>
      </xdr:spPr>
    </xdr:pic>
    <xdr:clientData/>
  </xdr:twoCellAnchor>
  <xdr:twoCellAnchor>
    <xdr:from>
      <xdr:col>9</xdr:col>
      <xdr:colOff>323850</xdr:colOff>
      <xdr:row>0</xdr:row>
      <xdr:rowOff>57149</xdr:rowOff>
    </xdr:from>
    <xdr:to>
      <xdr:col>11</xdr:col>
      <xdr:colOff>216274</xdr:colOff>
      <xdr:row>1</xdr:row>
      <xdr:rowOff>171450</xdr:rowOff>
    </xdr:to>
    <xdr:sp macro="" textlink="$A$8">
      <xdr:nvSpPr>
        <xdr:cNvPr id="14" name="TextBox 13">
          <a:extLst>
            <a:ext uri="{FF2B5EF4-FFF2-40B4-BE49-F238E27FC236}">
              <a16:creationId xmlns:a16="http://schemas.microsoft.com/office/drawing/2014/main" id="{879CED72-1B19-44E8-97F2-FB5C4E694CD9}"/>
            </a:ext>
          </a:extLst>
        </xdr:cNvPr>
        <xdr:cNvSpPr txBox="1"/>
      </xdr:nvSpPr>
      <xdr:spPr>
        <a:xfrm>
          <a:off x="5810250" y="57149"/>
          <a:ext cx="1111624"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4E2274-E86C-4865-BB58-7BD8E3FCA497}" type="TxLink">
            <a:rPr lang="en-US" sz="1800" b="0" i="0" u="none" strike="noStrike">
              <a:solidFill>
                <a:schemeClr val="bg1"/>
              </a:solidFill>
              <a:latin typeface="Aptos Narrow"/>
              <a:ea typeface="+mn-ea"/>
              <a:cs typeface="+mn-cs"/>
            </a:rPr>
            <a:pPr marL="0" indent="0"/>
            <a:t> ₹ 82,763 </a:t>
          </a:fld>
          <a:endParaRPr lang="en-IN" sz="1800" b="0" i="0" u="none" strike="noStrike">
            <a:solidFill>
              <a:schemeClr val="bg1"/>
            </a:solidFill>
            <a:latin typeface="Aptos Narrow"/>
            <a:ea typeface="+mn-ea"/>
            <a:cs typeface="+mn-cs"/>
          </a:endParaRPr>
        </a:p>
      </xdr:txBody>
    </xdr:sp>
    <xdr:clientData/>
  </xdr:twoCellAnchor>
  <xdr:twoCellAnchor>
    <xdr:from>
      <xdr:col>9</xdr:col>
      <xdr:colOff>409575</xdr:colOff>
      <xdr:row>1</xdr:row>
      <xdr:rowOff>152399</xdr:rowOff>
    </xdr:from>
    <xdr:to>
      <xdr:col>11</xdr:col>
      <xdr:colOff>319928</xdr:colOff>
      <xdr:row>3</xdr:row>
      <xdr:rowOff>47624</xdr:rowOff>
    </xdr:to>
    <xdr:sp macro="" textlink="">
      <xdr:nvSpPr>
        <xdr:cNvPr id="15" name="TextBox 14">
          <a:extLst>
            <a:ext uri="{FF2B5EF4-FFF2-40B4-BE49-F238E27FC236}">
              <a16:creationId xmlns:a16="http://schemas.microsoft.com/office/drawing/2014/main" id="{AB12F679-BEFC-4B66-A31F-2BAEEF114B4E}"/>
            </a:ext>
          </a:extLst>
        </xdr:cNvPr>
        <xdr:cNvSpPr txBox="1"/>
      </xdr:nvSpPr>
      <xdr:spPr>
        <a:xfrm>
          <a:off x="5895975" y="342899"/>
          <a:ext cx="1129553"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Avg</a:t>
          </a:r>
          <a:r>
            <a:rPr lang="en-IN" sz="1400" b="1" baseline="0">
              <a:solidFill>
                <a:schemeClr val="bg1"/>
              </a:solidFill>
              <a:latin typeface="Sitka Heading" pitchFamily="2" charset="0"/>
            </a:rPr>
            <a:t> Salary</a:t>
          </a:r>
          <a:endParaRPr lang="en-IN" sz="1400" b="1">
            <a:solidFill>
              <a:schemeClr val="bg1"/>
            </a:solidFill>
            <a:latin typeface="Sitka Heading" pitchFamily="2" charset="0"/>
          </a:endParaRPr>
        </a:p>
      </xdr:txBody>
    </xdr:sp>
    <xdr:clientData/>
  </xdr:twoCellAnchor>
  <xdr:twoCellAnchor editAs="oneCell">
    <xdr:from>
      <xdr:col>11</xdr:col>
      <xdr:colOff>535781</xdr:colOff>
      <xdr:row>0</xdr:row>
      <xdr:rowOff>161925</xdr:rowOff>
    </xdr:from>
    <xdr:to>
      <xdr:col>12</xdr:col>
      <xdr:colOff>463100</xdr:colOff>
      <xdr:row>3</xdr:row>
      <xdr:rowOff>142875</xdr:rowOff>
    </xdr:to>
    <xdr:pic>
      <xdr:nvPicPr>
        <xdr:cNvPr id="16" name="Graphic 15" descr="Business Growth with solid fill">
          <a:extLst>
            <a:ext uri="{FF2B5EF4-FFF2-40B4-BE49-F238E27FC236}">
              <a16:creationId xmlns:a16="http://schemas.microsoft.com/office/drawing/2014/main" id="{3759FEB6-2490-4026-9748-490E34E8D3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7241381" y="161925"/>
          <a:ext cx="536919" cy="552450"/>
        </a:xfrm>
        <a:prstGeom prst="rect">
          <a:avLst/>
        </a:prstGeom>
      </xdr:spPr>
    </xdr:pic>
    <xdr:clientData/>
  </xdr:twoCellAnchor>
  <xdr:twoCellAnchor>
    <xdr:from>
      <xdr:col>13</xdr:col>
      <xdr:colOff>247651</xdr:colOff>
      <xdr:row>0</xdr:row>
      <xdr:rowOff>47624</xdr:rowOff>
    </xdr:from>
    <xdr:to>
      <xdr:col>14</xdr:col>
      <xdr:colOff>313829</xdr:colOff>
      <xdr:row>1</xdr:row>
      <xdr:rowOff>161925</xdr:rowOff>
    </xdr:to>
    <xdr:sp macro="" textlink="$A$9">
      <xdr:nvSpPr>
        <xdr:cNvPr id="17" name="TextBox 16">
          <a:extLst>
            <a:ext uri="{FF2B5EF4-FFF2-40B4-BE49-F238E27FC236}">
              <a16:creationId xmlns:a16="http://schemas.microsoft.com/office/drawing/2014/main" id="{2D1549EF-FF4B-48F8-8926-D0CC9BAAEECF}"/>
            </a:ext>
          </a:extLst>
        </xdr:cNvPr>
        <xdr:cNvSpPr txBox="1"/>
      </xdr:nvSpPr>
      <xdr:spPr>
        <a:xfrm>
          <a:off x="8172451" y="47624"/>
          <a:ext cx="675778"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E448AB-FCB2-4921-87D5-48AE25063AE0}" type="TxLink">
            <a:rPr lang="en-US" sz="1800" b="0" i="0" u="none" strike="noStrike">
              <a:solidFill>
                <a:schemeClr val="bg1"/>
              </a:solidFill>
              <a:latin typeface="Aptos Narrow"/>
              <a:ea typeface="+mn-ea"/>
              <a:cs typeface="+mn-cs"/>
            </a:rPr>
            <a:pPr marL="0" indent="0"/>
            <a:t>3.99</a:t>
          </a:fld>
          <a:endParaRPr lang="en-IN" sz="1800" b="0" i="0" u="none" strike="noStrike">
            <a:solidFill>
              <a:schemeClr val="bg1"/>
            </a:solidFill>
            <a:latin typeface="Aptos Narrow"/>
            <a:ea typeface="+mn-ea"/>
            <a:cs typeface="+mn-cs"/>
          </a:endParaRPr>
        </a:p>
      </xdr:txBody>
    </xdr:sp>
    <xdr:clientData/>
  </xdr:twoCellAnchor>
  <xdr:twoCellAnchor>
    <xdr:from>
      <xdr:col>12</xdr:col>
      <xdr:colOff>419100</xdr:colOff>
      <xdr:row>1</xdr:row>
      <xdr:rowOff>152399</xdr:rowOff>
    </xdr:from>
    <xdr:to>
      <xdr:col>15</xdr:col>
      <xdr:colOff>123825</xdr:colOff>
      <xdr:row>3</xdr:row>
      <xdr:rowOff>47624</xdr:rowOff>
    </xdr:to>
    <xdr:sp macro="" textlink="">
      <xdr:nvSpPr>
        <xdr:cNvPr id="18" name="TextBox 17">
          <a:extLst>
            <a:ext uri="{FF2B5EF4-FFF2-40B4-BE49-F238E27FC236}">
              <a16:creationId xmlns:a16="http://schemas.microsoft.com/office/drawing/2014/main" id="{AF1ACE64-2A98-4A44-A618-CC3DB2FD8677}"/>
            </a:ext>
          </a:extLst>
        </xdr:cNvPr>
        <xdr:cNvSpPr txBox="1"/>
      </xdr:nvSpPr>
      <xdr:spPr>
        <a:xfrm>
          <a:off x="7734300" y="342899"/>
          <a:ext cx="15335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Avg</a:t>
          </a:r>
          <a:r>
            <a:rPr lang="en-IN" sz="1400" b="1" baseline="0">
              <a:solidFill>
                <a:schemeClr val="bg1"/>
              </a:solidFill>
              <a:latin typeface="Sitka Heading" pitchFamily="2" charset="0"/>
            </a:rPr>
            <a:t> Performance</a:t>
          </a:r>
          <a:endParaRPr lang="en-IN" sz="1400" b="1">
            <a:solidFill>
              <a:schemeClr val="bg1"/>
            </a:solidFill>
            <a:latin typeface="Sitka Heading" pitchFamily="2" charset="0"/>
          </a:endParaRPr>
        </a:p>
      </xdr:txBody>
    </xdr:sp>
    <xdr:clientData/>
  </xdr:twoCellAnchor>
  <xdr:twoCellAnchor editAs="oneCell">
    <xdr:from>
      <xdr:col>15</xdr:col>
      <xdr:colOff>278606</xdr:colOff>
      <xdr:row>0</xdr:row>
      <xdr:rowOff>161925</xdr:rowOff>
    </xdr:from>
    <xdr:to>
      <xdr:col>16</xdr:col>
      <xdr:colOff>186928</xdr:colOff>
      <xdr:row>3</xdr:row>
      <xdr:rowOff>142875</xdr:rowOff>
    </xdr:to>
    <xdr:pic>
      <xdr:nvPicPr>
        <xdr:cNvPr id="19" name="Graphic 18" descr="Man and woman with solid fill">
          <a:extLst>
            <a:ext uri="{FF2B5EF4-FFF2-40B4-BE49-F238E27FC236}">
              <a16:creationId xmlns:a16="http://schemas.microsoft.com/office/drawing/2014/main" id="{65BB1C24-0C59-4730-A233-40D5E53987D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9422606" y="161925"/>
          <a:ext cx="517922" cy="552450"/>
        </a:xfrm>
        <a:prstGeom prst="rect">
          <a:avLst/>
        </a:prstGeom>
      </xdr:spPr>
    </xdr:pic>
    <xdr:clientData/>
  </xdr:twoCellAnchor>
  <xdr:twoCellAnchor>
    <xdr:from>
      <xdr:col>16</xdr:col>
      <xdr:colOff>600075</xdr:colOff>
      <xdr:row>0</xdr:row>
      <xdr:rowOff>47624</xdr:rowOff>
    </xdr:from>
    <xdr:to>
      <xdr:col>18</xdr:col>
      <xdr:colOff>202407</xdr:colOff>
      <xdr:row>1</xdr:row>
      <xdr:rowOff>161925</xdr:rowOff>
    </xdr:to>
    <xdr:sp macro="" textlink="$A$10">
      <xdr:nvSpPr>
        <xdr:cNvPr id="20" name="TextBox 19">
          <a:extLst>
            <a:ext uri="{FF2B5EF4-FFF2-40B4-BE49-F238E27FC236}">
              <a16:creationId xmlns:a16="http://schemas.microsoft.com/office/drawing/2014/main" id="{FD5D1D9B-2E44-4AF1-BDD4-0628E9D96537}"/>
            </a:ext>
          </a:extLst>
        </xdr:cNvPr>
        <xdr:cNvSpPr txBox="1"/>
      </xdr:nvSpPr>
      <xdr:spPr>
        <a:xfrm>
          <a:off x="10353675" y="47624"/>
          <a:ext cx="821532"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3EA4933-00F9-4637-A6B5-E572540FEDC1}" type="TxLink">
            <a:rPr lang="en-US" sz="1800" b="0" i="0" u="none" strike="noStrike">
              <a:solidFill>
                <a:schemeClr val="bg1"/>
              </a:solidFill>
              <a:latin typeface="Aptos Narrow"/>
              <a:ea typeface="+mn-ea"/>
              <a:cs typeface="+mn-cs"/>
            </a:rPr>
            <a:pPr marL="0" indent="0"/>
            <a:t>100%</a:t>
          </a:fld>
          <a:endParaRPr lang="en-IN" sz="1800" b="0" i="0" u="none" strike="noStrike">
            <a:solidFill>
              <a:schemeClr val="bg1"/>
            </a:solidFill>
            <a:latin typeface="Aptos Narrow"/>
            <a:ea typeface="+mn-ea"/>
            <a:cs typeface="+mn-cs"/>
          </a:endParaRPr>
        </a:p>
      </xdr:txBody>
    </xdr:sp>
    <xdr:clientData/>
  </xdr:twoCellAnchor>
  <xdr:twoCellAnchor>
    <xdr:from>
      <xdr:col>16</xdr:col>
      <xdr:colOff>400050</xdr:colOff>
      <xdr:row>1</xdr:row>
      <xdr:rowOff>161924</xdr:rowOff>
    </xdr:from>
    <xdr:to>
      <xdr:col>18</xdr:col>
      <xdr:colOff>304800</xdr:colOff>
      <xdr:row>3</xdr:row>
      <xdr:rowOff>57149</xdr:rowOff>
    </xdr:to>
    <xdr:sp macro="" textlink="">
      <xdr:nvSpPr>
        <xdr:cNvPr id="21" name="TextBox 20">
          <a:extLst>
            <a:ext uri="{FF2B5EF4-FFF2-40B4-BE49-F238E27FC236}">
              <a16:creationId xmlns:a16="http://schemas.microsoft.com/office/drawing/2014/main" id="{55C6EC90-4EFE-4D02-83EB-84946B2064B2}"/>
            </a:ext>
          </a:extLst>
        </xdr:cNvPr>
        <xdr:cNvSpPr txBox="1"/>
      </xdr:nvSpPr>
      <xdr:spPr>
        <a:xfrm>
          <a:off x="10153650" y="352424"/>
          <a:ext cx="11239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Diversity</a:t>
          </a:r>
          <a:r>
            <a:rPr lang="en-IN" sz="1400" b="1" baseline="0">
              <a:solidFill>
                <a:schemeClr val="bg1"/>
              </a:solidFill>
              <a:latin typeface="Sitka Heading" pitchFamily="2" charset="0"/>
            </a:rPr>
            <a:t> %</a:t>
          </a:r>
          <a:endParaRPr lang="en-IN" sz="1400" b="1">
            <a:solidFill>
              <a:schemeClr val="bg1"/>
            </a:solidFill>
            <a:latin typeface="Sitka Heading" pitchFamily="2" charset="0"/>
          </a:endParaRPr>
        </a:p>
      </xdr:txBody>
    </xdr:sp>
    <xdr:clientData/>
  </xdr:twoCellAnchor>
  <xdr:twoCellAnchor editAs="oneCell">
    <xdr:from>
      <xdr:col>18</xdr:col>
      <xdr:colOff>381000</xdr:colOff>
      <xdr:row>0</xdr:row>
      <xdr:rowOff>47626</xdr:rowOff>
    </xdr:from>
    <xdr:to>
      <xdr:col>21</xdr:col>
      <xdr:colOff>408226</xdr:colOff>
      <xdr:row>3</xdr:row>
      <xdr:rowOff>124126</xdr:rowOff>
    </xdr:to>
    <mc:AlternateContent xmlns:mc="http://schemas.openxmlformats.org/markup-compatibility/2006" xmlns:a14="http://schemas.microsoft.com/office/drawing/2010/main">
      <mc:Choice Requires="a14">
        <xdr:graphicFrame macro="">
          <xdr:nvGraphicFramePr>
            <xdr:cNvPr id="22" name="Gender 2">
              <a:extLst>
                <a:ext uri="{FF2B5EF4-FFF2-40B4-BE49-F238E27FC236}">
                  <a16:creationId xmlns:a16="http://schemas.microsoft.com/office/drawing/2014/main" id="{97F0BCC6-D362-4216-BC9A-B7AE2B9C6DE1}"/>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1353800" y="47626"/>
              <a:ext cx="1856026"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18</xdr:row>
      <xdr:rowOff>38100</xdr:rowOff>
    </xdr:from>
    <xdr:to>
      <xdr:col>21</xdr:col>
      <xdr:colOff>415650</xdr:colOff>
      <xdr:row>29</xdr:row>
      <xdr:rowOff>180975</xdr:rowOff>
    </xdr:to>
    <mc:AlternateContent xmlns:mc="http://schemas.openxmlformats.org/markup-compatibility/2006" xmlns:a14="http://schemas.microsoft.com/office/drawing/2010/main">
      <mc:Choice Requires="a14">
        <xdr:graphicFrame macro="">
          <xdr:nvGraphicFramePr>
            <xdr:cNvPr id="23" name="Department 2">
              <a:extLst>
                <a:ext uri="{FF2B5EF4-FFF2-40B4-BE49-F238E27FC236}">
                  <a16:creationId xmlns:a16="http://schemas.microsoft.com/office/drawing/2014/main" id="{8506A601-166D-47D8-A2AB-DB351B3AF2B9}"/>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1353800" y="3467100"/>
              <a:ext cx="186345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3</xdr:row>
      <xdr:rowOff>152400</xdr:rowOff>
    </xdr:from>
    <xdr:to>
      <xdr:col>21</xdr:col>
      <xdr:colOff>408226</xdr:colOff>
      <xdr:row>7</xdr:row>
      <xdr:rowOff>2400</xdr:rowOff>
    </xdr:to>
    <mc:AlternateContent xmlns:mc="http://schemas.openxmlformats.org/markup-compatibility/2006" xmlns:a14="http://schemas.microsoft.com/office/drawing/2010/main">
      <mc:Choice Requires="a14">
        <xdr:graphicFrame macro="">
          <xdr:nvGraphicFramePr>
            <xdr:cNvPr id="24" name="Attrition 2">
              <a:extLst>
                <a:ext uri="{FF2B5EF4-FFF2-40B4-BE49-F238E27FC236}">
                  <a16:creationId xmlns:a16="http://schemas.microsoft.com/office/drawing/2014/main" id="{E8AE437B-DEB3-449F-A51E-F92E7DFF5F2D}"/>
                </a:ext>
              </a:extLst>
            </xdr:cNvPr>
            <xdr:cNvGraphicFramePr/>
          </xdr:nvGraphicFramePr>
          <xdr:xfrm>
            <a:off x="0" y="0"/>
            <a:ext cx="0" cy="0"/>
          </xdr:xfrm>
          <a:graphic>
            <a:graphicData uri="http://schemas.microsoft.com/office/drawing/2010/slicer">
              <sle:slicer xmlns:sle="http://schemas.microsoft.com/office/drawing/2010/slicer" name="Attrition 2"/>
            </a:graphicData>
          </a:graphic>
        </xdr:graphicFrame>
      </mc:Choice>
      <mc:Fallback xmlns="">
        <xdr:sp macro="" textlink="">
          <xdr:nvSpPr>
            <xdr:cNvPr id="0" name=""/>
            <xdr:cNvSpPr>
              <a:spLocks noTextEdit="1"/>
            </xdr:cNvSpPr>
          </xdr:nvSpPr>
          <xdr:spPr>
            <a:xfrm>
              <a:off x="11353800" y="723900"/>
              <a:ext cx="1856026"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7</xdr:row>
      <xdr:rowOff>28575</xdr:rowOff>
    </xdr:from>
    <xdr:to>
      <xdr:col>21</xdr:col>
      <xdr:colOff>415650</xdr:colOff>
      <xdr:row>18</xdr:row>
      <xdr:rowOff>0</xdr:rowOff>
    </xdr:to>
    <mc:AlternateContent xmlns:mc="http://schemas.openxmlformats.org/markup-compatibility/2006" xmlns:a14="http://schemas.microsoft.com/office/drawing/2010/main">
      <mc:Choice Requires="a14">
        <xdr:graphicFrame macro="">
          <xdr:nvGraphicFramePr>
            <xdr:cNvPr id="25" name="WorkLocation 2">
              <a:extLst>
                <a:ext uri="{FF2B5EF4-FFF2-40B4-BE49-F238E27FC236}">
                  <a16:creationId xmlns:a16="http://schemas.microsoft.com/office/drawing/2014/main" id="{BD2DB264-50B1-4F37-8312-B91C6468AF0C}"/>
                </a:ext>
              </a:extLst>
            </xdr:cNvPr>
            <xdr:cNvGraphicFramePr/>
          </xdr:nvGraphicFramePr>
          <xdr:xfrm>
            <a:off x="0" y="0"/>
            <a:ext cx="0" cy="0"/>
          </xdr:xfrm>
          <a:graphic>
            <a:graphicData uri="http://schemas.microsoft.com/office/drawing/2010/slicer">
              <sle:slicer xmlns:sle="http://schemas.microsoft.com/office/drawing/2010/slicer" name="WorkLocation 2"/>
            </a:graphicData>
          </a:graphic>
        </xdr:graphicFrame>
      </mc:Choice>
      <mc:Fallback xmlns="">
        <xdr:sp macro="" textlink="">
          <xdr:nvSpPr>
            <xdr:cNvPr id="0" name=""/>
            <xdr:cNvSpPr>
              <a:spLocks noTextEdit="1"/>
            </xdr:cNvSpPr>
          </xdr:nvSpPr>
          <xdr:spPr>
            <a:xfrm>
              <a:off x="11353800" y="1362075"/>
              <a:ext cx="1863450" cy="1885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66674</xdr:colOff>
      <xdr:row>4</xdr:row>
      <xdr:rowOff>104775</xdr:rowOff>
    </xdr:from>
    <xdr:to>
      <xdr:col>11</xdr:col>
      <xdr:colOff>304799</xdr:colOff>
      <xdr:row>18</xdr:row>
      <xdr:rowOff>38100</xdr:rowOff>
    </xdr:to>
    <xdr:graphicFrame macro="">
      <xdr:nvGraphicFramePr>
        <xdr:cNvPr id="26" name="Chart 25">
          <a:extLst>
            <a:ext uri="{FF2B5EF4-FFF2-40B4-BE49-F238E27FC236}">
              <a16:creationId xmlns:a16="http://schemas.microsoft.com/office/drawing/2014/main" id="{D9F7483D-7C09-4D90-B0A2-A83931BEF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381000</xdr:colOff>
      <xdr:row>4</xdr:row>
      <xdr:rowOff>114301</xdr:rowOff>
    </xdr:from>
    <xdr:to>
      <xdr:col>18</xdr:col>
      <xdr:colOff>333375</xdr:colOff>
      <xdr:row>18</xdr:row>
      <xdr:rowOff>38101</xdr:rowOff>
    </xdr:to>
    <xdr:graphicFrame macro="">
      <xdr:nvGraphicFramePr>
        <xdr:cNvPr id="27" name="Chart 26">
          <a:extLst>
            <a:ext uri="{FF2B5EF4-FFF2-40B4-BE49-F238E27FC236}">
              <a16:creationId xmlns:a16="http://schemas.microsoft.com/office/drawing/2014/main" id="{BCA53B46-3AE5-43AF-8F5B-0889D92BF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66675</xdr:colOff>
      <xdr:row>18</xdr:row>
      <xdr:rowOff>104775</xdr:rowOff>
    </xdr:from>
    <xdr:to>
      <xdr:col>4</xdr:col>
      <xdr:colOff>571500</xdr:colOff>
      <xdr:row>29</xdr:row>
      <xdr:rowOff>152400</xdr:rowOff>
    </xdr:to>
    <xdr:graphicFrame macro="">
      <xdr:nvGraphicFramePr>
        <xdr:cNvPr id="29" name="Chart 28">
          <a:extLst>
            <a:ext uri="{FF2B5EF4-FFF2-40B4-BE49-F238E27FC236}">
              <a16:creationId xmlns:a16="http://schemas.microsoft.com/office/drawing/2014/main" id="{17D97210-151D-4A30-9775-508E4045C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485774</xdr:colOff>
      <xdr:row>18</xdr:row>
      <xdr:rowOff>114300</xdr:rowOff>
    </xdr:from>
    <xdr:to>
      <xdr:col>18</xdr:col>
      <xdr:colOff>333375</xdr:colOff>
      <xdr:row>29</xdr:row>
      <xdr:rowOff>171450</xdr:rowOff>
    </xdr:to>
    <xdr:graphicFrame macro="">
      <xdr:nvGraphicFramePr>
        <xdr:cNvPr id="31" name="Chart 30">
          <a:extLst>
            <a:ext uri="{FF2B5EF4-FFF2-40B4-BE49-F238E27FC236}">
              <a16:creationId xmlns:a16="http://schemas.microsoft.com/office/drawing/2014/main" id="{4DADC416-CF17-40B6-9E27-891C1DC54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38099</xdr:colOff>
      <xdr:row>18</xdr:row>
      <xdr:rowOff>104776</xdr:rowOff>
    </xdr:from>
    <xdr:to>
      <xdr:col>11</xdr:col>
      <xdr:colOff>390524</xdr:colOff>
      <xdr:row>29</xdr:row>
      <xdr:rowOff>142876</xdr:rowOff>
    </xdr:to>
    <xdr:graphicFrame macro="">
      <xdr:nvGraphicFramePr>
        <xdr:cNvPr id="32" name="Chart 31">
          <a:extLst>
            <a:ext uri="{FF2B5EF4-FFF2-40B4-BE49-F238E27FC236}">
              <a16:creationId xmlns:a16="http://schemas.microsoft.com/office/drawing/2014/main" id="{7B585F19-0A99-4F89-A63A-A1892D577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47625</xdr:colOff>
      <xdr:row>0</xdr:row>
      <xdr:rowOff>171450</xdr:rowOff>
    </xdr:from>
    <xdr:to>
      <xdr:col>0</xdr:col>
      <xdr:colOff>523875</xdr:colOff>
      <xdr:row>3</xdr:row>
      <xdr:rowOff>133350</xdr:rowOff>
    </xdr:to>
    <xdr:sp macro="" textlink="">
      <xdr:nvSpPr>
        <xdr:cNvPr id="35" name="Arrow: Left 34">
          <a:extLst>
            <a:ext uri="{FF2B5EF4-FFF2-40B4-BE49-F238E27FC236}">
              <a16:creationId xmlns:a16="http://schemas.microsoft.com/office/drawing/2014/main" id="{CD793B67-4501-48BD-B316-18C1E0A05D30}"/>
            </a:ext>
          </a:extLst>
        </xdr:cNvPr>
        <xdr:cNvSpPr/>
      </xdr:nvSpPr>
      <xdr:spPr>
        <a:xfrm>
          <a:off x="47625" y="171450"/>
          <a:ext cx="476250" cy="533400"/>
        </a:xfrm>
        <a:prstGeom prst="leftArrow">
          <a:avLst/>
        </a:prstGeom>
        <a:solidFill>
          <a:schemeClr val="bg1">
            <a:lumMod val="6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85725</xdr:colOff>
      <xdr:row>1</xdr:row>
      <xdr:rowOff>114299</xdr:rowOff>
    </xdr:from>
    <xdr:to>
      <xdr:col>0</xdr:col>
      <xdr:colOff>590550</xdr:colOff>
      <xdr:row>2</xdr:row>
      <xdr:rowOff>161924</xdr:rowOff>
    </xdr:to>
    <xdr:sp macro="" textlink="">
      <xdr:nvSpPr>
        <xdr:cNvPr id="30" name="TextBox 29">
          <a:hlinkClick xmlns:r="http://schemas.openxmlformats.org/officeDocument/2006/relationships" r:id="rId16"/>
          <a:extLst>
            <a:ext uri="{FF2B5EF4-FFF2-40B4-BE49-F238E27FC236}">
              <a16:creationId xmlns:a16="http://schemas.microsoft.com/office/drawing/2014/main" id="{CC55E823-4C4E-4D5C-0005-AAE6EF083656}"/>
            </a:ext>
          </a:extLst>
        </xdr:cNvPr>
        <xdr:cNvSpPr txBox="1"/>
      </xdr:nvSpPr>
      <xdr:spPr>
        <a:xfrm>
          <a:off x="85725" y="304799"/>
          <a:ext cx="5048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rPr>
            <a:t>Back</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561975</xdr:colOff>
      <xdr:row>0</xdr:row>
      <xdr:rowOff>57150</xdr:rowOff>
    </xdr:from>
    <xdr:to>
      <xdr:col>4</xdr:col>
      <xdr:colOff>171450</xdr:colOff>
      <xdr:row>4</xdr:row>
      <xdr:rowOff>57150</xdr:rowOff>
    </xdr:to>
    <xdr:sp macro="" textlink="">
      <xdr:nvSpPr>
        <xdr:cNvPr id="2" name="Rectangle: Rounded Corners 1">
          <a:extLst>
            <a:ext uri="{FF2B5EF4-FFF2-40B4-BE49-F238E27FC236}">
              <a16:creationId xmlns:a16="http://schemas.microsoft.com/office/drawing/2014/main" id="{07470ED9-F3C6-4BC4-8A01-5894B51458DF}"/>
            </a:ext>
          </a:extLst>
        </xdr:cNvPr>
        <xdr:cNvSpPr/>
      </xdr:nvSpPr>
      <xdr:spPr>
        <a:xfrm>
          <a:off x="561975" y="57150"/>
          <a:ext cx="2047875" cy="762000"/>
        </a:xfrm>
        <a:prstGeom prst="roundRect">
          <a:avLst/>
        </a:prstGeom>
        <a:solidFill>
          <a:srgbClr val="FF0000">
            <a:alpha val="92000"/>
          </a:srgbClr>
        </a:solidFill>
        <a:ln>
          <a:noFill/>
          <a:prstDash val="sysDash"/>
        </a:ln>
        <a:effectLst>
          <a:outerShdw blurRad="76200" dist="38100" dir="2700000" algn="tl" rotWithShape="0">
            <a:schemeClr val="bg1">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a:noFill/>
            </a:ln>
            <a:solidFill>
              <a:schemeClr val="tx1"/>
            </a:solidFill>
            <a:effectLst/>
          </a:endParaRPr>
        </a:p>
      </xdr:txBody>
    </xdr:sp>
    <xdr:clientData/>
  </xdr:twoCellAnchor>
  <xdr:twoCellAnchor>
    <xdr:from>
      <xdr:col>4</xdr:col>
      <xdr:colOff>219076</xdr:colOff>
      <xdr:row>0</xdr:row>
      <xdr:rowOff>57150</xdr:rowOff>
    </xdr:from>
    <xdr:to>
      <xdr:col>7</xdr:col>
      <xdr:colOff>428626</xdr:colOff>
      <xdr:row>4</xdr:row>
      <xdr:rowOff>57150</xdr:rowOff>
    </xdr:to>
    <xdr:sp macro="" textlink="">
      <xdr:nvSpPr>
        <xdr:cNvPr id="3" name="Rectangle: Rounded Corners 2">
          <a:extLst>
            <a:ext uri="{FF2B5EF4-FFF2-40B4-BE49-F238E27FC236}">
              <a16:creationId xmlns:a16="http://schemas.microsoft.com/office/drawing/2014/main" id="{0DA7CF71-6D6C-436E-B70F-37FA3F68BF64}"/>
            </a:ext>
          </a:extLst>
        </xdr:cNvPr>
        <xdr:cNvSpPr/>
      </xdr:nvSpPr>
      <xdr:spPr>
        <a:xfrm>
          <a:off x="2657476" y="57150"/>
          <a:ext cx="2038350" cy="762000"/>
        </a:xfrm>
        <a:prstGeom prst="roundRect">
          <a:avLst/>
        </a:prstGeom>
        <a:effectLst>
          <a:outerShdw blurRad="76200" dist="38100" dir="2700000" algn="tl" rotWithShape="0">
            <a:schemeClr val="bg1">
              <a:lumMod val="50000"/>
              <a:alpha val="40000"/>
            </a:scheme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476250</xdr:colOff>
      <xdr:row>0</xdr:row>
      <xdr:rowOff>57150</xdr:rowOff>
    </xdr:from>
    <xdr:to>
      <xdr:col>11</xdr:col>
      <xdr:colOff>180975</xdr:colOff>
      <xdr:row>4</xdr:row>
      <xdr:rowOff>57150</xdr:rowOff>
    </xdr:to>
    <xdr:sp macro="" textlink="">
      <xdr:nvSpPr>
        <xdr:cNvPr id="4" name="Rectangle: Rounded Corners 3">
          <a:extLst>
            <a:ext uri="{FF2B5EF4-FFF2-40B4-BE49-F238E27FC236}">
              <a16:creationId xmlns:a16="http://schemas.microsoft.com/office/drawing/2014/main" id="{EB9FC21E-33B8-4838-86C7-0F5E845321A6}"/>
            </a:ext>
          </a:extLst>
        </xdr:cNvPr>
        <xdr:cNvSpPr/>
      </xdr:nvSpPr>
      <xdr:spPr>
        <a:xfrm>
          <a:off x="4743450" y="57150"/>
          <a:ext cx="2143125" cy="762000"/>
        </a:xfrm>
        <a:prstGeom prst="roundRect">
          <a:avLst/>
        </a:prstGeom>
        <a:ln>
          <a:noFill/>
        </a:ln>
        <a:effectLst>
          <a:innerShdw blurRad="114300">
            <a:prstClr val="black"/>
          </a:inn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219075</xdr:colOff>
      <xdr:row>0</xdr:row>
      <xdr:rowOff>57150</xdr:rowOff>
    </xdr:from>
    <xdr:to>
      <xdr:col>15</xdr:col>
      <xdr:colOff>76200</xdr:colOff>
      <xdr:row>4</xdr:row>
      <xdr:rowOff>57150</xdr:rowOff>
    </xdr:to>
    <xdr:sp macro="" textlink="">
      <xdr:nvSpPr>
        <xdr:cNvPr id="5" name="Rectangle: Rounded Corners 4">
          <a:extLst>
            <a:ext uri="{FF2B5EF4-FFF2-40B4-BE49-F238E27FC236}">
              <a16:creationId xmlns:a16="http://schemas.microsoft.com/office/drawing/2014/main" id="{9D8C2792-9F8C-4ABD-8CF3-AEF9AA399669}"/>
            </a:ext>
          </a:extLst>
        </xdr:cNvPr>
        <xdr:cNvSpPr/>
      </xdr:nvSpPr>
      <xdr:spPr>
        <a:xfrm>
          <a:off x="6924675" y="57150"/>
          <a:ext cx="2295525" cy="762000"/>
        </a:xfrm>
        <a:prstGeom prst="roundRect">
          <a:avLst/>
        </a:prstGeom>
        <a:ln>
          <a:noFill/>
        </a:ln>
        <a:effectLst>
          <a:outerShdw blurRad="76200" dist="38100" dir="2700000" algn="tl" rotWithShape="0">
            <a:schemeClr val="bg1">
              <a:lumMod val="50000"/>
              <a:alpha val="40000"/>
            </a:scheme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133351</xdr:colOff>
      <xdr:row>0</xdr:row>
      <xdr:rowOff>57150</xdr:rowOff>
    </xdr:from>
    <xdr:to>
      <xdr:col>18</xdr:col>
      <xdr:colOff>321467</xdr:colOff>
      <xdr:row>4</xdr:row>
      <xdr:rowOff>57150</xdr:rowOff>
    </xdr:to>
    <xdr:sp macro="" textlink="">
      <xdr:nvSpPr>
        <xdr:cNvPr id="6" name="Rectangle: Rounded Corners 5">
          <a:extLst>
            <a:ext uri="{FF2B5EF4-FFF2-40B4-BE49-F238E27FC236}">
              <a16:creationId xmlns:a16="http://schemas.microsoft.com/office/drawing/2014/main" id="{218484D0-D47E-4FC1-843D-B3B6B1E9A7A3}"/>
            </a:ext>
          </a:extLst>
        </xdr:cNvPr>
        <xdr:cNvSpPr/>
      </xdr:nvSpPr>
      <xdr:spPr>
        <a:xfrm>
          <a:off x="9277351" y="57150"/>
          <a:ext cx="2016916" cy="762000"/>
        </a:xfrm>
        <a:prstGeom prst="roundRect">
          <a:avLst/>
        </a:prstGeom>
        <a:ln>
          <a:noFill/>
        </a:ln>
        <a:effectLst>
          <a:outerShdw blurRad="76200" dist="38100" dir="2700000" algn="tl" rotWithShape="0">
            <a:schemeClr val="bg1">
              <a:lumMod val="50000"/>
              <a:alpha val="40000"/>
            </a:scheme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466725</xdr:colOff>
      <xdr:row>0</xdr:row>
      <xdr:rowOff>47624</xdr:rowOff>
    </xdr:from>
    <xdr:to>
      <xdr:col>3</xdr:col>
      <xdr:colOff>552450</xdr:colOff>
      <xdr:row>1</xdr:row>
      <xdr:rowOff>161925</xdr:rowOff>
    </xdr:to>
    <xdr:sp macro="" textlink="$A$6">
      <xdr:nvSpPr>
        <xdr:cNvPr id="7" name="TextBox 6">
          <a:extLst>
            <a:ext uri="{FF2B5EF4-FFF2-40B4-BE49-F238E27FC236}">
              <a16:creationId xmlns:a16="http://schemas.microsoft.com/office/drawing/2014/main" id="{41412CA0-CADD-4955-AFD0-B20671524B91}"/>
            </a:ext>
          </a:extLst>
        </xdr:cNvPr>
        <xdr:cNvSpPr txBox="1"/>
      </xdr:nvSpPr>
      <xdr:spPr>
        <a:xfrm>
          <a:off x="1685925" y="47624"/>
          <a:ext cx="69532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2FCAA9-9AFB-461E-A7A7-70A5D6B91F8C}" type="TxLink">
            <a:rPr lang="en-US" sz="1800" b="0" i="0" u="none" strike="noStrike">
              <a:solidFill>
                <a:schemeClr val="bg1"/>
              </a:solidFill>
              <a:latin typeface="Aptos Narrow"/>
            </a:rPr>
            <a:pPr/>
            <a:t>300</a:t>
          </a:fld>
          <a:endParaRPr lang="en-IN" sz="1800">
            <a:solidFill>
              <a:schemeClr val="bg1"/>
            </a:solidFill>
          </a:endParaRPr>
        </a:p>
      </xdr:txBody>
    </xdr:sp>
    <xdr:clientData/>
  </xdr:twoCellAnchor>
  <xdr:twoCellAnchor editAs="oneCell">
    <xdr:from>
      <xdr:col>1</xdr:col>
      <xdr:colOff>114301</xdr:colOff>
      <xdr:row>0</xdr:row>
      <xdr:rowOff>114302</xdr:rowOff>
    </xdr:from>
    <xdr:to>
      <xdr:col>2</xdr:col>
      <xdr:colOff>142875</xdr:colOff>
      <xdr:row>3</xdr:row>
      <xdr:rowOff>180976</xdr:rowOff>
    </xdr:to>
    <xdr:pic>
      <xdr:nvPicPr>
        <xdr:cNvPr id="8" name="Graphic 7" descr="Connections with solid fill">
          <a:extLst>
            <a:ext uri="{FF2B5EF4-FFF2-40B4-BE49-F238E27FC236}">
              <a16:creationId xmlns:a16="http://schemas.microsoft.com/office/drawing/2014/main" id="{C9FD811F-BE84-462F-A7C4-52D3EA63146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723901" y="114302"/>
          <a:ext cx="638174" cy="638174"/>
        </a:xfrm>
        <a:prstGeom prst="rect">
          <a:avLst/>
        </a:prstGeom>
      </xdr:spPr>
    </xdr:pic>
    <xdr:clientData/>
  </xdr:twoCellAnchor>
  <xdr:twoCellAnchor>
    <xdr:from>
      <xdr:col>2</xdr:col>
      <xdr:colOff>180976</xdr:colOff>
      <xdr:row>1</xdr:row>
      <xdr:rowOff>180974</xdr:rowOff>
    </xdr:from>
    <xdr:to>
      <xdr:col>4</xdr:col>
      <xdr:colOff>114300</xdr:colOff>
      <xdr:row>3</xdr:row>
      <xdr:rowOff>76199</xdr:rowOff>
    </xdr:to>
    <xdr:sp macro="" textlink="">
      <xdr:nvSpPr>
        <xdr:cNvPr id="9" name="TextBox 8">
          <a:extLst>
            <a:ext uri="{FF2B5EF4-FFF2-40B4-BE49-F238E27FC236}">
              <a16:creationId xmlns:a16="http://schemas.microsoft.com/office/drawing/2014/main" id="{FB6919B4-C5A8-437E-9C1E-5465BCBCA9C0}"/>
            </a:ext>
          </a:extLst>
        </xdr:cNvPr>
        <xdr:cNvSpPr txBox="1"/>
      </xdr:nvSpPr>
      <xdr:spPr>
        <a:xfrm>
          <a:off x="1400176" y="371474"/>
          <a:ext cx="115252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Head Count</a:t>
          </a:r>
        </a:p>
      </xdr:txBody>
    </xdr:sp>
    <xdr:clientData/>
  </xdr:twoCellAnchor>
  <xdr:twoCellAnchor editAs="oneCell">
    <xdr:from>
      <xdr:col>4</xdr:col>
      <xdr:colOff>295276</xdr:colOff>
      <xdr:row>0</xdr:row>
      <xdr:rowOff>152401</xdr:rowOff>
    </xdr:from>
    <xdr:to>
      <xdr:col>5</xdr:col>
      <xdr:colOff>323850</xdr:colOff>
      <xdr:row>3</xdr:row>
      <xdr:rowOff>133351</xdr:rowOff>
    </xdr:to>
    <xdr:pic>
      <xdr:nvPicPr>
        <xdr:cNvPr id="10" name="Graphic 9" descr="Questions with solid fill">
          <a:extLst>
            <a:ext uri="{FF2B5EF4-FFF2-40B4-BE49-F238E27FC236}">
              <a16:creationId xmlns:a16="http://schemas.microsoft.com/office/drawing/2014/main" id="{42EB33D0-1989-47B6-9987-F882FD983E7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33676" y="152401"/>
          <a:ext cx="638174" cy="552450"/>
        </a:xfrm>
        <a:prstGeom prst="rect">
          <a:avLst/>
        </a:prstGeom>
      </xdr:spPr>
    </xdr:pic>
    <xdr:clientData/>
  </xdr:twoCellAnchor>
  <xdr:twoCellAnchor>
    <xdr:from>
      <xdr:col>6</xdr:col>
      <xdr:colOff>76200</xdr:colOff>
      <xdr:row>0</xdr:row>
      <xdr:rowOff>28575</xdr:rowOff>
    </xdr:from>
    <xdr:to>
      <xdr:col>7</xdr:col>
      <xdr:colOff>161925</xdr:colOff>
      <xdr:row>1</xdr:row>
      <xdr:rowOff>142876</xdr:rowOff>
    </xdr:to>
    <xdr:sp macro="" textlink="$A$7">
      <xdr:nvSpPr>
        <xdr:cNvPr id="11" name="TextBox 10">
          <a:extLst>
            <a:ext uri="{FF2B5EF4-FFF2-40B4-BE49-F238E27FC236}">
              <a16:creationId xmlns:a16="http://schemas.microsoft.com/office/drawing/2014/main" id="{E10282AA-03FF-4EF3-B3CF-CDE75B9FAF2F}"/>
            </a:ext>
          </a:extLst>
        </xdr:cNvPr>
        <xdr:cNvSpPr txBox="1"/>
      </xdr:nvSpPr>
      <xdr:spPr>
        <a:xfrm>
          <a:off x="3733800" y="28575"/>
          <a:ext cx="69532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12ED09E-E73E-4330-B4DF-1BADE950B180}" type="TxLink">
            <a:rPr lang="en-US" sz="1800" b="0" i="0" u="none" strike="noStrike">
              <a:solidFill>
                <a:schemeClr val="bg1"/>
              </a:solidFill>
              <a:latin typeface="Aptos Narrow"/>
              <a:ea typeface="+mn-ea"/>
              <a:cs typeface="+mn-cs"/>
            </a:rPr>
            <a:pPr marL="0" indent="0"/>
            <a:t>23%</a:t>
          </a:fld>
          <a:endParaRPr lang="en-IN" sz="1800" b="0" i="0" u="none" strike="noStrike">
            <a:solidFill>
              <a:schemeClr val="bg1"/>
            </a:solidFill>
            <a:latin typeface="Aptos Narrow"/>
            <a:ea typeface="+mn-ea"/>
            <a:cs typeface="+mn-cs"/>
          </a:endParaRPr>
        </a:p>
      </xdr:txBody>
    </xdr:sp>
    <xdr:clientData/>
  </xdr:twoCellAnchor>
  <xdr:twoCellAnchor>
    <xdr:from>
      <xdr:col>5</xdr:col>
      <xdr:colOff>314326</xdr:colOff>
      <xdr:row>1</xdr:row>
      <xdr:rowOff>161925</xdr:rowOff>
    </xdr:from>
    <xdr:to>
      <xdr:col>7</xdr:col>
      <xdr:colOff>447676</xdr:colOff>
      <xdr:row>3</xdr:row>
      <xdr:rowOff>57150</xdr:rowOff>
    </xdr:to>
    <xdr:sp macro="" textlink="">
      <xdr:nvSpPr>
        <xdr:cNvPr id="12" name="TextBox 11">
          <a:extLst>
            <a:ext uri="{FF2B5EF4-FFF2-40B4-BE49-F238E27FC236}">
              <a16:creationId xmlns:a16="http://schemas.microsoft.com/office/drawing/2014/main" id="{7651EEF4-37ED-4220-B2F1-CC6CFFCCA1AE}"/>
            </a:ext>
          </a:extLst>
        </xdr:cNvPr>
        <xdr:cNvSpPr txBox="1"/>
      </xdr:nvSpPr>
      <xdr:spPr>
        <a:xfrm>
          <a:off x="3362326" y="352425"/>
          <a:ext cx="13525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Attrition</a:t>
          </a:r>
          <a:r>
            <a:rPr lang="en-IN" sz="1400" b="1" baseline="0">
              <a:solidFill>
                <a:schemeClr val="bg1"/>
              </a:solidFill>
              <a:latin typeface="Sitka Heading" pitchFamily="2" charset="0"/>
            </a:rPr>
            <a:t> Rate</a:t>
          </a:r>
          <a:endParaRPr lang="en-IN" sz="1400" b="1">
            <a:solidFill>
              <a:schemeClr val="bg1"/>
            </a:solidFill>
            <a:latin typeface="Sitka Heading" pitchFamily="2" charset="0"/>
          </a:endParaRPr>
        </a:p>
      </xdr:txBody>
    </xdr:sp>
    <xdr:clientData/>
  </xdr:twoCellAnchor>
  <xdr:twoCellAnchor editAs="oneCell">
    <xdr:from>
      <xdr:col>7</xdr:col>
      <xdr:colOff>595312</xdr:colOff>
      <xdr:row>0</xdr:row>
      <xdr:rowOff>114300</xdr:rowOff>
    </xdr:from>
    <xdr:to>
      <xdr:col>8</xdr:col>
      <xdr:colOff>571500</xdr:colOff>
      <xdr:row>3</xdr:row>
      <xdr:rowOff>95250</xdr:rowOff>
    </xdr:to>
    <xdr:pic>
      <xdr:nvPicPr>
        <xdr:cNvPr id="13" name="Graphic 12" descr="Money with solid fill">
          <a:extLst>
            <a:ext uri="{FF2B5EF4-FFF2-40B4-BE49-F238E27FC236}">
              <a16:creationId xmlns:a16="http://schemas.microsoft.com/office/drawing/2014/main" id="{ACECA9ED-E839-48DC-8A7F-ABDC07F8B1F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862512" y="114300"/>
          <a:ext cx="585788" cy="552450"/>
        </a:xfrm>
        <a:prstGeom prst="rect">
          <a:avLst/>
        </a:prstGeom>
      </xdr:spPr>
    </xdr:pic>
    <xdr:clientData/>
  </xdr:twoCellAnchor>
  <xdr:twoCellAnchor>
    <xdr:from>
      <xdr:col>9</xdr:col>
      <xdr:colOff>114300</xdr:colOff>
      <xdr:row>0</xdr:row>
      <xdr:rowOff>57149</xdr:rowOff>
    </xdr:from>
    <xdr:to>
      <xdr:col>11</xdr:col>
      <xdr:colOff>76200</xdr:colOff>
      <xdr:row>1</xdr:row>
      <xdr:rowOff>171450</xdr:rowOff>
    </xdr:to>
    <xdr:sp macro="" textlink="$A$8">
      <xdr:nvSpPr>
        <xdr:cNvPr id="14" name="TextBox 13">
          <a:extLst>
            <a:ext uri="{FF2B5EF4-FFF2-40B4-BE49-F238E27FC236}">
              <a16:creationId xmlns:a16="http://schemas.microsoft.com/office/drawing/2014/main" id="{732D0897-4254-444D-B4C5-6646A9517341}"/>
            </a:ext>
          </a:extLst>
        </xdr:cNvPr>
        <xdr:cNvSpPr txBox="1"/>
      </xdr:nvSpPr>
      <xdr:spPr>
        <a:xfrm>
          <a:off x="5600700" y="57149"/>
          <a:ext cx="1181100"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4E2274-E86C-4865-BB58-7BD8E3FCA497}" type="TxLink">
            <a:rPr lang="en-US" sz="1800" b="0" i="0" u="none" strike="noStrike">
              <a:solidFill>
                <a:schemeClr val="bg1"/>
              </a:solidFill>
              <a:latin typeface="Aptos Narrow"/>
              <a:ea typeface="+mn-ea"/>
              <a:cs typeface="+mn-cs"/>
            </a:rPr>
            <a:pPr marL="0" indent="0"/>
            <a:t> ₹ 82,763 </a:t>
          </a:fld>
          <a:endParaRPr lang="en-IN" sz="1800" b="0" i="0" u="none" strike="noStrike">
            <a:solidFill>
              <a:schemeClr val="bg1"/>
            </a:solidFill>
            <a:latin typeface="Aptos Narrow"/>
            <a:ea typeface="+mn-ea"/>
            <a:cs typeface="+mn-cs"/>
          </a:endParaRPr>
        </a:p>
      </xdr:txBody>
    </xdr:sp>
    <xdr:clientData/>
  </xdr:twoCellAnchor>
  <xdr:twoCellAnchor>
    <xdr:from>
      <xdr:col>9</xdr:col>
      <xdr:colOff>200025</xdr:colOff>
      <xdr:row>1</xdr:row>
      <xdr:rowOff>142874</xdr:rowOff>
    </xdr:from>
    <xdr:to>
      <xdr:col>11</xdr:col>
      <xdr:colOff>19050</xdr:colOff>
      <xdr:row>3</xdr:row>
      <xdr:rowOff>38099</xdr:rowOff>
    </xdr:to>
    <xdr:sp macro="" textlink="">
      <xdr:nvSpPr>
        <xdr:cNvPr id="15" name="TextBox 14">
          <a:extLst>
            <a:ext uri="{FF2B5EF4-FFF2-40B4-BE49-F238E27FC236}">
              <a16:creationId xmlns:a16="http://schemas.microsoft.com/office/drawing/2014/main" id="{8612097F-4436-4387-A863-E91BADB17F25}"/>
            </a:ext>
          </a:extLst>
        </xdr:cNvPr>
        <xdr:cNvSpPr txBox="1"/>
      </xdr:nvSpPr>
      <xdr:spPr>
        <a:xfrm>
          <a:off x="5686425" y="333374"/>
          <a:ext cx="10382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Avg</a:t>
          </a:r>
          <a:r>
            <a:rPr lang="en-IN" sz="1400" b="1" baseline="0">
              <a:solidFill>
                <a:schemeClr val="bg1"/>
              </a:solidFill>
              <a:latin typeface="Sitka Heading" pitchFamily="2" charset="0"/>
            </a:rPr>
            <a:t> Salary</a:t>
          </a:r>
          <a:endParaRPr lang="en-IN" sz="1400" b="1">
            <a:solidFill>
              <a:schemeClr val="bg1"/>
            </a:solidFill>
            <a:latin typeface="Sitka Heading" pitchFamily="2" charset="0"/>
          </a:endParaRPr>
        </a:p>
      </xdr:txBody>
    </xdr:sp>
    <xdr:clientData/>
  </xdr:twoCellAnchor>
  <xdr:twoCellAnchor editAs="oneCell">
    <xdr:from>
      <xdr:col>11</xdr:col>
      <xdr:colOff>326231</xdr:colOff>
      <xdr:row>0</xdr:row>
      <xdr:rowOff>161925</xdr:rowOff>
    </xdr:from>
    <xdr:to>
      <xdr:col>12</xdr:col>
      <xdr:colOff>269081</xdr:colOff>
      <xdr:row>3</xdr:row>
      <xdr:rowOff>142875</xdr:rowOff>
    </xdr:to>
    <xdr:pic>
      <xdr:nvPicPr>
        <xdr:cNvPr id="16" name="Graphic 15" descr="Business Growth with solid fill">
          <a:extLst>
            <a:ext uri="{FF2B5EF4-FFF2-40B4-BE49-F238E27FC236}">
              <a16:creationId xmlns:a16="http://schemas.microsoft.com/office/drawing/2014/main" id="{39E25F8D-55BA-4ADF-AC11-A34316E4D18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7031831" y="161925"/>
          <a:ext cx="552450" cy="552450"/>
        </a:xfrm>
        <a:prstGeom prst="rect">
          <a:avLst/>
        </a:prstGeom>
      </xdr:spPr>
    </xdr:pic>
    <xdr:clientData/>
  </xdr:twoCellAnchor>
  <xdr:twoCellAnchor>
    <xdr:from>
      <xdr:col>13</xdr:col>
      <xdr:colOff>38100</xdr:colOff>
      <xdr:row>0</xdr:row>
      <xdr:rowOff>47624</xdr:rowOff>
    </xdr:from>
    <xdr:to>
      <xdr:col>14</xdr:col>
      <xdr:colOff>123825</xdr:colOff>
      <xdr:row>1</xdr:row>
      <xdr:rowOff>161925</xdr:rowOff>
    </xdr:to>
    <xdr:sp macro="" textlink="$A$9">
      <xdr:nvSpPr>
        <xdr:cNvPr id="17" name="TextBox 16">
          <a:extLst>
            <a:ext uri="{FF2B5EF4-FFF2-40B4-BE49-F238E27FC236}">
              <a16:creationId xmlns:a16="http://schemas.microsoft.com/office/drawing/2014/main" id="{B2C56721-8790-4630-A5C0-63F8F308E43F}"/>
            </a:ext>
          </a:extLst>
        </xdr:cNvPr>
        <xdr:cNvSpPr txBox="1"/>
      </xdr:nvSpPr>
      <xdr:spPr>
        <a:xfrm>
          <a:off x="7962900" y="47624"/>
          <a:ext cx="69532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E448AB-FCB2-4921-87D5-48AE25063AE0}" type="TxLink">
            <a:rPr lang="en-US" sz="1800" b="0" i="0" u="none" strike="noStrike">
              <a:solidFill>
                <a:schemeClr val="bg1"/>
              </a:solidFill>
              <a:latin typeface="Aptos Narrow"/>
              <a:ea typeface="+mn-ea"/>
              <a:cs typeface="+mn-cs"/>
            </a:rPr>
            <a:pPr marL="0" indent="0"/>
            <a:t>3.99</a:t>
          </a:fld>
          <a:endParaRPr lang="en-IN" sz="1800" b="0" i="0" u="none" strike="noStrike">
            <a:solidFill>
              <a:schemeClr val="bg1"/>
            </a:solidFill>
            <a:latin typeface="Aptos Narrow"/>
            <a:ea typeface="+mn-ea"/>
            <a:cs typeface="+mn-cs"/>
          </a:endParaRPr>
        </a:p>
      </xdr:txBody>
    </xdr:sp>
    <xdr:clientData/>
  </xdr:twoCellAnchor>
  <xdr:twoCellAnchor>
    <xdr:from>
      <xdr:col>12</xdr:col>
      <xdr:colOff>304801</xdr:colOff>
      <xdr:row>1</xdr:row>
      <xdr:rowOff>161924</xdr:rowOff>
    </xdr:from>
    <xdr:to>
      <xdr:col>15</xdr:col>
      <xdr:colOff>47625</xdr:colOff>
      <xdr:row>3</xdr:row>
      <xdr:rowOff>57149</xdr:rowOff>
    </xdr:to>
    <xdr:sp macro="" textlink="">
      <xdr:nvSpPr>
        <xdr:cNvPr id="18" name="TextBox 17">
          <a:extLst>
            <a:ext uri="{FF2B5EF4-FFF2-40B4-BE49-F238E27FC236}">
              <a16:creationId xmlns:a16="http://schemas.microsoft.com/office/drawing/2014/main" id="{AE835038-13F2-4CF8-89A6-872CEDAF694F}"/>
            </a:ext>
          </a:extLst>
        </xdr:cNvPr>
        <xdr:cNvSpPr txBox="1"/>
      </xdr:nvSpPr>
      <xdr:spPr>
        <a:xfrm>
          <a:off x="7620001" y="352424"/>
          <a:ext cx="157162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Avg</a:t>
          </a:r>
          <a:r>
            <a:rPr lang="en-IN" sz="1400" b="1" baseline="0">
              <a:solidFill>
                <a:schemeClr val="bg1"/>
              </a:solidFill>
              <a:latin typeface="Sitka Heading" pitchFamily="2" charset="0"/>
            </a:rPr>
            <a:t> Performance</a:t>
          </a:r>
          <a:endParaRPr lang="en-IN" sz="1400" b="1">
            <a:solidFill>
              <a:schemeClr val="bg1"/>
            </a:solidFill>
            <a:latin typeface="Sitka Heading" pitchFamily="2" charset="0"/>
          </a:endParaRPr>
        </a:p>
      </xdr:txBody>
    </xdr:sp>
    <xdr:clientData/>
  </xdr:twoCellAnchor>
  <xdr:twoCellAnchor editAs="oneCell">
    <xdr:from>
      <xdr:col>15</xdr:col>
      <xdr:colOff>183356</xdr:colOff>
      <xdr:row>0</xdr:row>
      <xdr:rowOff>161925</xdr:rowOff>
    </xdr:from>
    <xdr:to>
      <xdr:col>16</xdr:col>
      <xdr:colOff>95993</xdr:colOff>
      <xdr:row>3</xdr:row>
      <xdr:rowOff>142875</xdr:rowOff>
    </xdr:to>
    <xdr:pic>
      <xdr:nvPicPr>
        <xdr:cNvPr id="19" name="Graphic 18" descr="Man and woman with solid fill">
          <a:extLst>
            <a:ext uri="{FF2B5EF4-FFF2-40B4-BE49-F238E27FC236}">
              <a16:creationId xmlns:a16="http://schemas.microsoft.com/office/drawing/2014/main" id="{F0BAD3C1-2936-4E58-AF27-F9E2E783290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9327356" y="161925"/>
          <a:ext cx="522237" cy="552450"/>
        </a:xfrm>
        <a:prstGeom prst="rect">
          <a:avLst/>
        </a:prstGeom>
      </xdr:spPr>
    </xdr:pic>
    <xdr:clientData/>
  </xdr:twoCellAnchor>
  <xdr:twoCellAnchor>
    <xdr:from>
      <xdr:col>16</xdr:col>
      <xdr:colOff>504825</xdr:colOff>
      <xdr:row>0</xdr:row>
      <xdr:rowOff>38099</xdr:rowOff>
    </xdr:from>
    <xdr:to>
      <xdr:col>18</xdr:col>
      <xdr:colOff>114002</xdr:colOff>
      <xdr:row>1</xdr:row>
      <xdr:rowOff>152400</xdr:rowOff>
    </xdr:to>
    <xdr:sp macro="" textlink="$A$10">
      <xdr:nvSpPr>
        <xdr:cNvPr id="20" name="TextBox 19">
          <a:extLst>
            <a:ext uri="{FF2B5EF4-FFF2-40B4-BE49-F238E27FC236}">
              <a16:creationId xmlns:a16="http://schemas.microsoft.com/office/drawing/2014/main" id="{529BC929-5055-4145-AE8F-377F152B6E15}"/>
            </a:ext>
          </a:extLst>
        </xdr:cNvPr>
        <xdr:cNvSpPr txBox="1"/>
      </xdr:nvSpPr>
      <xdr:spPr>
        <a:xfrm>
          <a:off x="10258425" y="38099"/>
          <a:ext cx="828377"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3EA4933-00F9-4637-A6B5-E572540FEDC1}" type="TxLink">
            <a:rPr lang="en-US" sz="1800" b="0" i="0" u="none" strike="noStrike">
              <a:solidFill>
                <a:schemeClr val="bg1"/>
              </a:solidFill>
              <a:latin typeface="Aptos Narrow"/>
              <a:ea typeface="+mn-ea"/>
              <a:cs typeface="+mn-cs"/>
            </a:rPr>
            <a:pPr marL="0" indent="0"/>
            <a:t>100%</a:t>
          </a:fld>
          <a:endParaRPr lang="en-IN" sz="1800" b="0" i="0" u="none" strike="noStrike">
            <a:solidFill>
              <a:schemeClr val="bg1"/>
            </a:solidFill>
            <a:latin typeface="Aptos Narrow"/>
            <a:ea typeface="+mn-ea"/>
            <a:cs typeface="+mn-cs"/>
          </a:endParaRPr>
        </a:p>
      </xdr:txBody>
    </xdr:sp>
    <xdr:clientData/>
  </xdr:twoCellAnchor>
  <xdr:twoCellAnchor>
    <xdr:from>
      <xdr:col>16</xdr:col>
      <xdr:colOff>314326</xdr:colOff>
      <xdr:row>1</xdr:row>
      <xdr:rowOff>161924</xdr:rowOff>
    </xdr:from>
    <xdr:to>
      <xdr:col>18</xdr:col>
      <xdr:colOff>247650</xdr:colOff>
      <xdr:row>3</xdr:row>
      <xdr:rowOff>57149</xdr:rowOff>
    </xdr:to>
    <xdr:sp macro="" textlink="">
      <xdr:nvSpPr>
        <xdr:cNvPr id="21" name="TextBox 20">
          <a:extLst>
            <a:ext uri="{FF2B5EF4-FFF2-40B4-BE49-F238E27FC236}">
              <a16:creationId xmlns:a16="http://schemas.microsoft.com/office/drawing/2014/main" id="{A3FBF6BD-4ED3-408A-960A-AF526FE4CB43}"/>
            </a:ext>
          </a:extLst>
        </xdr:cNvPr>
        <xdr:cNvSpPr txBox="1"/>
      </xdr:nvSpPr>
      <xdr:spPr>
        <a:xfrm>
          <a:off x="10067926" y="352424"/>
          <a:ext cx="115252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Diversity</a:t>
          </a:r>
          <a:r>
            <a:rPr lang="en-IN" sz="1400" b="1" baseline="0">
              <a:solidFill>
                <a:schemeClr val="bg1"/>
              </a:solidFill>
              <a:latin typeface="Sitka Heading" pitchFamily="2" charset="0"/>
            </a:rPr>
            <a:t> %</a:t>
          </a:r>
          <a:endParaRPr lang="en-IN" sz="1400" b="1">
            <a:solidFill>
              <a:schemeClr val="bg1"/>
            </a:solidFill>
            <a:latin typeface="Sitka Heading" pitchFamily="2" charset="0"/>
          </a:endParaRPr>
        </a:p>
      </xdr:txBody>
    </xdr:sp>
    <xdr:clientData/>
  </xdr:twoCellAnchor>
  <xdr:twoCellAnchor editAs="oneCell">
    <xdr:from>
      <xdr:col>18</xdr:col>
      <xdr:colOff>381000</xdr:colOff>
      <xdr:row>0</xdr:row>
      <xdr:rowOff>47626</xdr:rowOff>
    </xdr:from>
    <xdr:to>
      <xdr:col>21</xdr:col>
      <xdr:colOff>408226</xdr:colOff>
      <xdr:row>3</xdr:row>
      <xdr:rowOff>124126</xdr:rowOff>
    </xdr:to>
    <mc:AlternateContent xmlns:mc="http://schemas.openxmlformats.org/markup-compatibility/2006" xmlns:a14="http://schemas.microsoft.com/office/drawing/2010/main">
      <mc:Choice Requires="a14">
        <xdr:graphicFrame macro="">
          <xdr:nvGraphicFramePr>
            <xdr:cNvPr id="22" name="Gender 3">
              <a:extLst>
                <a:ext uri="{FF2B5EF4-FFF2-40B4-BE49-F238E27FC236}">
                  <a16:creationId xmlns:a16="http://schemas.microsoft.com/office/drawing/2014/main" id="{B389C062-24E7-45CA-9F66-571912D637B1}"/>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1353800" y="47626"/>
              <a:ext cx="1856026"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17</xdr:row>
      <xdr:rowOff>161925</xdr:rowOff>
    </xdr:from>
    <xdr:to>
      <xdr:col>21</xdr:col>
      <xdr:colOff>415650</xdr:colOff>
      <xdr:row>29</xdr:row>
      <xdr:rowOff>142875</xdr:rowOff>
    </xdr:to>
    <mc:AlternateContent xmlns:mc="http://schemas.openxmlformats.org/markup-compatibility/2006" xmlns:a14="http://schemas.microsoft.com/office/drawing/2010/main">
      <mc:Choice Requires="a14">
        <xdr:graphicFrame macro="">
          <xdr:nvGraphicFramePr>
            <xdr:cNvPr id="23" name="Department 3">
              <a:extLst>
                <a:ext uri="{FF2B5EF4-FFF2-40B4-BE49-F238E27FC236}">
                  <a16:creationId xmlns:a16="http://schemas.microsoft.com/office/drawing/2014/main" id="{75487129-9536-4479-804F-A593D865087C}"/>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1353800" y="3400425"/>
              <a:ext cx="1863450" cy="226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3</xdr:row>
      <xdr:rowOff>152400</xdr:rowOff>
    </xdr:from>
    <xdr:to>
      <xdr:col>21</xdr:col>
      <xdr:colOff>408226</xdr:colOff>
      <xdr:row>7</xdr:row>
      <xdr:rowOff>2400</xdr:rowOff>
    </xdr:to>
    <mc:AlternateContent xmlns:mc="http://schemas.openxmlformats.org/markup-compatibility/2006" xmlns:a14="http://schemas.microsoft.com/office/drawing/2010/main">
      <mc:Choice Requires="a14">
        <xdr:graphicFrame macro="">
          <xdr:nvGraphicFramePr>
            <xdr:cNvPr id="24" name="Attrition 3">
              <a:extLst>
                <a:ext uri="{FF2B5EF4-FFF2-40B4-BE49-F238E27FC236}">
                  <a16:creationId xmlns:a16="http://schemas.microsoft.com/office/drawing/2014/main" id="{199EE89D-9E75-40F3-855E-56450AC83398}"/>
                </a:ext>
              </a:extLst>
            </xdr:cNvPr>
            <xdr:cNvGraphicFramePr/>
          </xdr:nvGraphicFramePr>
          <xdr:xfrm>
            <a:off x="0" y="0"/>
            <a:ext cx="0" cy="0"/>
          </xdr:xfrm>
          <a:graphic>
            <a:graphicData uri="http://schemas.microsoft.com/office/drawing/2010/slicer">
              <sle:slicer xmlns:sle="http://schemas.microsoft.com/office/drawing/2010/slicer" name="Attrition 3"/>
            </a:graphicData>
          </a:graphic>
        </xdr:graphicFrame>
      </mc:Choice>
      <mc:Fallback xmlns="">
        <xdr:sp macro="" textlink="">
          <xdr:nvSpPr>
            <xdr:cNvPr id="0" name=""/>
            <xdr:cNvSpPr>
              <a:spLocks noTextEdit="1"/>
            </xdr:cNvSpPr>
          </xdr:nvSpPr>
          <xdr:spPr>
            <a:xfrm>
              <a:off x="11353800" y="723900"/>
              <a:ext cx="1856026"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7</xdr:row>
      <xdr:rowOff>28575</xdr:rowOff>
    </xdr:from>
    <xdr:to>
      <xdr:col>21</xdr:col>
      <xdr:colOff>415650</xdr:colOff>
      <xdr:row>17</xdr:row>
      <xdr:rowOff>133350</xdr:rowOff>
    </xdr:to>
    <mc:AlternateContent xmlns:mc="http://schemas.openxmlformats.org/markup-compatibility/2006" xmlns:a14="http://schemas.microsoft.com/office/drawing/2010/main">
      <mc:Choice Requires="a14">
        <xdr:graphicFrame macro="">
          <xdr:nvGraphicFramePr>
            <xdr:cNvPr id="25" name="WorkLocation 3">
              <a:extLst>
                <a:ext uri="{FF2B5EF4-FFF2-40B4-BE49-F238E27FC236}">
                  <a16:creationId xmlns:a16="http://schemas.microsoft.com/office/drawing/2014/main" id="{78B48DAC-9637-4DCE-A844-D98ECDA5464F}"/>
                </a:ext>
              </a:extLst>
            </xdr:cNvPr>
            <xdr:cNvGraphicFramePr/>
          </xdr:nvGraphicFramePr>
          <xdr:xfrm>
            <a:off x="0" y="0"/>
            <a:ext cx="0" cy="0"/>
          </xdr:xfrm>
          <a:graphic>
            <a:graphicData uri="http://schemas.microsoft.com/office/drawing/2010/slicer">
              <sle:slicer xmlns:sle="http://schemas.microsoft.com/office/drawing/2010/slicer" name="WorkLocation 3"/>
            </a:graphicData>
          </a:graphic>
        </xdr:graphicFrame>
      </mc:Choice>
      <mc:Fallback xmlns="">
        <xdr:sp macro="" textlink="">
          <xdr:nvSpPr>
            <xdr:cNvPr id="0" name=""/>
            <xdr:cNvSpPr>
              <a:spLocks noTextEdit="1"/>
            </xdr:cNvSpPr>
          </xdr:nvSpPr>
          <xdr:spPr>
            <a:xfrm>
              <a:off x="11353800" y="1362075"/>
              <a:ext cx="1863450" cy="1885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180975</xdr:colOff>
      <xdr:row>4</xdr:row>
      <xdr:rowOff>85725</xdr:rowOff>
    </xdr:from>
    <xdr:to>
      <xdr:col>18</xdr:col>
      <xdr:colOff>285750</xdr:colOff>
      <xdr:row>17</xdr:row>
      <xdr:rowOff>9525</xdr:rowOff>
    </xdr:to>
    <xdr:graphicFrame macro="">
      <xdr:nvGraphicFramePr>
        <xdr:cNvPr id="26" name="Chart 25">
          <a:extLst>
            <a:ext uri="{FF2B5EF4-FFF2-40B4-BE49-F238E27FC236}">
              <a16:creationId xmlns:a16="http://schemas.microsoft.com/office/drawing/2014/main" id="{D2745461-4014-4E27-8156-B26D86BDD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171450</xdr:colOff>
      <xdr:row>17</xdr:row>
      <xdr:rowOff>57150</xdr:rowOff>
    </xdr:from>
    <xdr:to>
      <xdr:col>13</xdr:col>
      <xdr:colOff>85725</xdr:colOff>
      <xdr:row>29</xdr:row>
      <xdr:rowOff>133350</xdr:rowOff>
    </xdr:to>
    <xdr:graphicFrame macro="">
      <xdr:nvGraphicFramePr>
        <xdr:cNvPr id="29" name="Chart 28">
          <a:extLst>
            <a:ext uri="{FF2B5EF4-FFF2-40B4-BE49-F238E27FC236}">
              <a16:creationId xmlns:a16="http://schemas.microsoft.com/office/drawing/2014/main" id="{9F715F9A-92CB-46AF-9428-E0B0600E0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66675</xdr:colOff>
      <xdr:row>4</xdr:row>
      <xdr:rowOff>85726</xdr:rowOff>
    </xdr:from>
    <xdr:to>
      <xdr:col>7</xdr:col>
      <xdr:colOff>104775</xdr:colOff>
      <xdr:row>29</xdr:row>
      <xdr:rowOff>133350</xdr:rowOff>
    </xdr:to>
    <xdr:graphicFrame macro="">
      <xdr:nvGraphicFramePr>
        <xdr:cNvPr id="31" name="Chart 30">
          <a:extLst>
            <a:ext uri="{FF2B5EF4-FFF2-40B4-BE49-F238E27FC236}">
              <a16:creationId xmlns:a16="http://schemas.microsoft.com/office/drawing/2014/main" id="{D5D65A22-16F3-45AB-9E46-E881F0F81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133350</xdr:colOff>
      <xdr:row>17</xdr:row>
      <xdr:rowOff>57149</xdr:rowOff>
    </xdr:from>
    <xdr:to>
      <xdr:col>18</xdr:col>
      <xdr:colOff>295275</xdr:colOff>
      <xdr:row>29</xdr:row>
      <xdr:rowOff>123824</xdr:rowOff>
    </xdr:to>
    <xdr:graphicFrame macro="">
      <xdr:nvGraphicFramePr>
        <xdr:cNvPr id="34" name="Chart 33">
          <a:extLst>
            <a:ext uri="{FF2B5EF4-FFF2-40B4-BE49-F238E27FC236}">
              <a16:creationId xmlns:a16="http://schemas.microsoft.com/office/drawing/2014/main" id="{FABFF674-1486-44C1-848A-6920A5143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38100</xdr:colOff>
      <xdr:row>0</xdr:row>
      <xdr:rowOff>180975</xdr:rowOff>
    </xdr:from>
    <xdr:to>
      <xdr:col>0</xdr:col>
      <xdr:colOff>514350</xdr:colOff>
      <xdr:row>3</xdr:row>
      <xdr:rowOff>142875</xdr:rowOff>
    </xdr:to>
    <xdr:sp macro="" textlink="">
      <xdr:nvSpPr>
        <xdr:cNvPr id="27" name="Arrow: Left 26">
          <a:extLst>
            <a:ext uri="{FF2B5EF4-FFF2-40B4-BE49-F238E27FC236}">
              <a16:creationId xmlns:a16="http://schemas.microsoft.com/office/drawing/2014/main" id="{94630E45-8ADC-4F3C-855A-29CEF8DC4F46}"/>
            </a:ext>
          </a:extLst>
        </xdr:cNvPr>
        <xdr:cNvSpPr/>
      </xdr:nvSpPr>
      <xdr:spPr>
        <a:xfrm>
          <a:off x="38100" y="180975"/>
          <a:ext cx="476250" cy="533400"/>
        </a:xfrm>
        <a:prstGeom prst="leftArrow">
          <a:avLst/>
        </a:prstGeom>
        <a:solidFill>
          <a:schemeClr val="bg1">
            <a:lumMod val="6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1</xdr:row>
      <xdr:rowOff>142875</xdr:rowOff>
    </xdr:from>
    <xdr:to>
      <xdr:col>0</xdr:col>
      <xdr:colOff>533400</xdr:colOff>
      <xdr:row>3</xdr:row>
      <xdr:rowOff>66675</xdr:rowOff>
    </xdr:to>
    <xdr:sp macro="" textlink="">
      <xdr:nvSpPr>
        <xdr:cNvPr id="28" name="TextBox 27">
          <a:hlinkClick xmlns:r="http://schemas.openxmlformats.org/officeDocument/2006/relationships" r:id="rId15"/>
          <a:extLst>
            <a:ext uri="{FF2B5EF4-FFF2-40B4-BE49-F238E27FC236}">
              <a16:creationId xmlns:a16="http://schemas.microsoft.com/office/drawing/2014/main" id="{96C75DD2-86C0-E636-FB12-1AE4E119603D}"/>
            </a:ext>
          </a:extLst>
        </xdr:cNvPr>
        <xdr:cNvSpPr txBox="1"/>
      </xdr:nvSpPr>
      <xdr:spPr>
        <a:xfrm>
          <a:off x="66675" y="333375"/>
          <a:ext cx="4667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lumMod val="95000"/>
                </a:schemeClr>
              </a:solidFill>
            </a:rPr>
            <a:t>Back</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xdr:colOff>
      <xdr:row>0</xdr:row>
      <xdr:rowOff>57150</xdr:rowOff>
    </xdr:from>
    <xdr:to>
      <xdr:col>4</xdr:col>
      <xdr:colOff>152401</xdr:colOff>
      <xdr:row>4</xdr:row>
      <xdr:rowOff>57150</xdr:rowOff>
    </xdr:to>
    <xdr:sp macro="" textlink="">
      <xdr:nvSpPr>
        <xdr:cNvPr id="2" name="Rectangle: Rounded Corners 1">
          <a:extLst>
            <a:ext uri="{FF2B5EF4-FFF2-40B4-BE49-F238E27FC236}">
              <a16:creationId xmlns:a16="http://schemas.microsoft.com/office/drawing/2014/main" id="{3FFEAC56-BA38-4540-873F-C2AC972EBCF1}"/>
            </a:ext>
          </a:extLst>
        </xdr:cNvPr>
        <xdr:cNvSpPr/>
      </xdr:nvSpPr>
      <xdr:spPr>
        <a:xfrm>
          <a:off x="609601" y="57150"/>
          <a:ext cx="1981200" cy="762000"/>
        </a:xfrm>
        <a:prstGeom prst="roundRect">
          <a:avLst/>
        </a:prstGeom>
        <a:solidFill>
          <a:srgbClr val="FF0000">
            <a:alpha val="92000"/>
          </a:srgbClr>
        </a:solidFill>
        <a:ln>
          <a:noFill/>
          <a:prstDash val="sysDash"/>
        </a:ln>
        <a:effectLst>
          <a:outerShdw blurRad="762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a:noFill/>
            </a:ln>
            <a:solidFill>
              <a:schemeClr val="tx1"/>
            </a:solidFill>
            <a:effectLst/>
          </a:endParaRPr>
        </a:p>
      </xdr:txBody>
    </xdr:sp>
    <xdr:clientData/>
  </xdr:twoCellAnchor>
  <xdr:twoCellAnchor>
    <xdr:from>
      <xdr:col>4</xdr:col>
      <xdr:colOff>200026</xdr:colOff>
      <xdr:row>0</xdr:row>
      <xdr:rowOff>57150</xdr:rowOff>
    </xdr:from>
    <xdr:to>
      <xdr:col>7</xdr:col>
      <xdr:colOff>466726</xdr:colOff>
      <xdr:row>4</xdr:row>
      <xdr:rowOff>57150</xdr:rowOff>
    </xdr:to>
    <xdr:sp macro="" textlink="">
      <xdr:nvSpPr>
        <xdr:cNvPr id="3" name="Rectangle: Rounded Corners 2">
          <a:extLst>
            <a:ext uri="{FF2B5EF4-FFF2-40B4-BE49-F238E27FC236}">
              <a16:creationId xmlns:a16="http://schemas.microsoft.com/office/drawing/2014/main" id="{A97A0969-7D8D-47B7-AD5B-53EBE9B2D31B}"/>
            </a:ext>
          </a:extLst>
        </xdr:cNvPr>
        <xdr:cNvSpPr/>
      </xdr:nvSpPr>
      <xdr:spPr>
        <a:xfrm>
          <a:off x="2638426" y="57150"/>
          <a:ext cx="2095500" cy="762000"/>
        </a:xfrm>
        <a:prstGeom prst="roundRect">
          <a:avLst/>
        </a:prstGeom>
        <a:effectLst>
          <a:outerShdw blurRad="76200" dist="38100" dir="2700000" algn="tl" rotWithShape="0">
            <a:schemeClr val="bg1">
              <a:lumMod val="50000"/>
              <a:alpha val="40000"/>
            </a:scheme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523876</xdr:colOff>
      <xdr:row>0</xdr:row>
      <xdr:rowOff>57150</xdr:rowOff>
    </xdr:from>
    <xdr:to>
      <xdr:col>11</xdr:col>
      <xdr:colOff>219076</xdr:colOff>
      <xdr:row>4</xdr:row>
      <xdr:rowOff>57150</xdr:rowOff>
    </xdr:to>
    <xdr:sp macro="" textlink="">
      <xdr:nvSpPr>
        <xdr:cNvPr id="4" name="Rectangle: Rounded Corners 3">
          <a:extLst>
            <a:ext uri="{FF2B5EF4-FFF2-40B4-BE49-F238E27FC236}">
              <a16:creationId xmlns:a16="http://schemas.microsoft.com/office/drawing/2014/main" id="{D0590EF5-E70C-4835-80A9-0D4229BB91B2}"/>
            </a:ext>
          </a:extLst>
        </xdr:cNvPr>
        <xdr:cNvSpPr/>
      </xdr:nvSpPr>
      <xdr:spPr>
        <a:xfrm>
          <a:off x="4791076" y="57150"/>
          <a:ext cx="2133600" cy="762000"/>
        </a:xfrm>
        <a:prstGeom prst="roundRect">
          <a:avLst/>
        </a:prstGeom>
        <a:ln>
          <a:noFill/>
        </a:ln>
        <a:effectLst>
          <a:outerShdw blurRad="76200" dist="38100" dir="2700000" algn="tl" rotWithShape="0">
            <a:schemeClr val="bg1">
              <a:lumMod val="50000"/>
              <a:alpha val="40000"/>
            </a:scheme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276225</xdr:colOff>
      <xdr:row>0</xdr:row>
      <xdr:rowOff>57150</xdr:rowOff>
    </xdr:from>
    <xdr:to>
      <xdr:col>15</xdr:col>
      <xdr:colOff>95250</xdr:colOff>
      <xdr:row>4</xdr:row>
      <xdr:rowOff>57150</xdr:rowOff>
    </xdr:to>
    <xdr:sp macro="" textlink="">
      <xdr:nvSpPr>
        <xdr:cNvPr id="5" name="Rectangle: Rounded Corners 4">
          <a:extLst>
            <a:ext uri="{FF2B5EF4-FFF2-40B4-BE49-F238E27FC236}">
              <a16:creationId xmlns:a16="http://schemas.microsoft.com/office/drawing/2014/main" id="{432C65DB-B3C5-42D1-B636-0C058065AA0D}"/>
            </a:ext>
          </a:extLst>
        </xdr:cNvPr>
        <xdr:cNvSpPr/>
      </xdr:nvSpPr>
      <xdr:spPr>
        <a:xfrm>
          <a:off x="6981825" y="57150"/>
          <a:ext cx="2257425" cy="762000"/>
        </a:xfrm>
        <a:prstGeom prst="roundRect">
          <a:avLst/>
        </a:prstGeom>
        <a:ln>
          <a:noFill/>
        </a:ln>
        <a:effectLst>
          <a:innerShdw blurRad="114300">
            <a:prstClr val="black"/>
          </a:inn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142875</xdr:colOff>
      <xdr:row>0</xdr:row>
      <xdr:rowOff>57150</xdr:rowOff>
    </xdr:from>
    <xdr:to>
      <xdr:col>18</xdr:col>
      <xdr:colOff>323850</xdr:colOff>
      <xdr:row>4</xdr:row>
      <xdr:rowOff>57150</xdr:rowOff>
    </xdr:to>
    <xdr:sp macro="" textlink="">
      <xdr:nvSpPr>
        <xdr:cNvPr id="6" name="Rectangle: Rounded Corners 5">
          <a:extLst>
            <a:ext uri="{FF2B5EF4-FFF2-40B4-BE49-F238E27FC236}">
              <a16:creationId xmlns:a16="http://schemas.microsoft.com/office/drawing/2014/main" id="{D4CDD586-1725-4630-BA79-FB5850E82B73}"/>
            </a:ext>
          </a:extLst>
        </xdr:cNvPr>
        <xdr:cNvSpPr/>
      </xdr:nvSpPr>
      <xdr:spPr>
        <a:xfrm>
          <a:off x="9286875" y="57150"/>
          <a:ext cx="2009775" cy="762000"/>
        </a:xfrm>
        <a:prstGeom prst="roundRect">
          <a:avLst/>
        </a:prstGeom>
        <a:ln>
          <a:noFill/>
        </a:ln>
        <a:effectLst>
          <a:outerShdw blurRad="76200" dist="38100" dir="2700000" algn="tl" rotWithShape="0">
            <a:schemeClr val="bg1">
              <a:lumMod val="50000"/>
              <a:alpha val="40000"/>
            </a:scheme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447675</xdr:colOff>
      <xdr:row>0</xdr:row>
      <xdr:rowOff>38099</xdr:rowOff>
    </xdr:from>
    <xdr:to>
      <xdr:col>3</xdr:col>
      <xdr:colOff>533400</xdr:colOff>
      <xdr:row>1</xdr:row>
      <xdr:rowOff>152400</xdr:rowOff>
    </xdr:to>
    <xdr:sp macro="" textlink="$A$6">
      <xdr:nvSpPr>
        <xdr:cNvPr id="7" name="TextBox 6">
          <a:extLst>
            <a:ext uri="{FF2B5EF4-FFF2-40B4-BE49-F238E27FC236}">
              <a16:creationId xmlns:a16="http://schemas.microsoft.com/office/drawing/2014/main" id="{34B3E48A-EF78-484C-9D1F-6776FFAB2982}"/>
            </a:ext>
          </a:extLst>
        </xdr:cNvPr>
        <xdr:cNvSpPr txBox="1"/>
      </xdr:nvSpPr>
      <xdr:spPr>
        <a:xfrm>
          <a:off x="1666875" y="38099"/>
          <a:ext cx="69532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2FCAA9-9AFB-461E-A7A7-70A5D6B91F8C}" type="TxLink">
            <a:rPr lang="en-US" sz="1800" b="0" i="0" u="none" strike="noStrike">
              <a:solidFill>
                <a:schemeClr val="bg1"/>
              </a:solidFill>
              <a:latin typeface="Aptos Narrow"/>
            </a:rPr>
            <a:pPr/>
            <a:t>300</a:t>
          </a:fld>
          <a:endParaRPr lang="en-IN" sz="1800">
            <a:solidFill>
              <a:schemeClr val="bg1"/>
            </a:solidFill>
          </a:endParaRPr>
        </a:p>
      </xdr:txBody>
    </xdr:sp>
    <xdr:clientData/>
  </xdr:twoCellAnchor>
  <xdr:twoCellAnchor editAs="oneCell">
    <xdr:from>
      <xdr:col>1</xdr:col>
      <xdr:colOff>161926</xdr:colOff>
      <xdr:row>0</xdr:row>
      <xdr:rowOff>114302</xdr:rowOff>
    </xdr:from>
    <xdr:to>
      <xdr:col>2</xdr:col>
      <xdr:colOff>190500</xdr:colOff>
      <xdr:row>3</xdr:row>
      <xdr:rowOff>180976</xdr:rowOff>
    </xdr:to>
    <xdr:pic>
      <xdr:nvPicPr>
        <xdr:cNvPr id="8" name="Graphic 7" descr="Connections with solid fill">
          <a:extLst>
            <a:ext uri="{FF2B5EF4-FFF2-40B4-BE49-F238E27FC236}">
              <a16:creationId xmlns:a16="http://schemas.microsoft.com/office/drawing/2014/main" id="{14A09E36-BAAB-4077-BA0A-EA319B9961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771526" y="114302"/>
          <a:ext cx="638174" cy="638174"/>
        </a:xfrm>
        <a:prstGeom prst="rect">
          <a:avLst/>
        </a:prstGeom>
      </xdr:spPr>
    </xdr:pic>
    <xdr:clientData/>
  </xdr:twoCellAnchor>
  <xdr:twoCellAnchor>
    <xdr:from>
      <xdr:col>2</xdr:col>
      <xdr:colOff>161926</xdr:colOff>
      <xdr:row>1</xdr:row>
      <xdr:rowOff>171449</xdr:rowOff>
    </xdr:from>
    <xdr:to>
      <xdr:col>4</xdr:col>
      <xdr:colOff>123826</xdr:colOff>
      <xdr:row>3</xdr:row>
      <xdr:rowOff>66674</xdr:rowOff>
    </xdr:to>
    <xdr:sp macro="" textlink="">
      <xdr:nvSpPr>
        <xdr:cNvPr id="9" name="TextBox 8">
          <a:extLst>
            <a:ext uri="{FF2B5EF4-FFF2-40B4-BE49-F238E27FC236}">
              <a16:creationId xmlns:a16="http://schemas.microsoft.com/office/drawing/2014/main" id="{7E717074-F0E5-44FD-BB08-A4F4E87A0FE9}"/>
            </a:ext>
          </a:extLst>
        </xdr:cNvPr>
        <xdr:cNvSpPr txBox="1"/>
      </xdr:nvSpPr>
      <xdr:spPr>
        <a:xfrm>
          <a:off x="1381126" y="361949"/>
          <a:ext cx="11811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Head Count</a:t>
          </a:r>
        </a:p>
      </xdr:txBody>
    </xdr:sp>
    <xdr:clientData/>
  </xdr:twoCellAnchor>
  <xdr:twoCellAnchor editAs="oneCell">
    <xdr:from>
      <xdr:col>4</xdr:col>
      <xdr:colOff>276226</xdr:colOff>
      <xdr:row>0</xdr:row>
      <xdr:rowOff>152401</xdr:rowOff>
    </xdr:from>
    <xdr:to>
      <xdr:col>5</xdr:col>
      <xdr:colOff>304800</xdr:colOff>
      <xdr:row>3</xdr:row>
      <xdr:rowOff>133351</xdr:rowOff>
    </xdr:to>
    <xdr:pic>
      <xdr:nvPicPr>
        <xdr:cNvPr id="10" name="Graphic 9" descr="Questions with solid fill">
          <a:extLst>
            <a:ext uri="{FF2B5EF4-FFF2-40B4-BE49-F238E27FC236}">
              <a16:creationId xmlns:a16="http://schemas.microsoft.com/office/drawing/2014/main" id="{FC04B1C9-081F-41EC-88A2-8237B38411A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14626" y="152401"/>
          <a:ext cx="638174" cy="552450"/>
        </a:xfrm>
        <a:prstGeom prst="rect">
          <a:avLst/>
        </a:prstGeom>
      </xdr:spPr>
    </xdr:pic>
    <xdr:clientData/>
  </xdr:twoCellAnchor>
  <xdr:twoCellAnchor>
    <xdr:from>
      <xdr:col>6</xdr:col>
      <xdr:colOff>19050</xdr:colOff>
      <xdr:row>0</xdr:row>
      <xdr:rowOff>38100</xdr:rowOff>
    </xdr:from>
    <xdr:to>
      <xdr:col>7</xdr:col>
      <xdr:colOff>104775</xdr:colOff>
      <xdr:row>1</xdr:row>
      <xdr:rowOff>152401</xdr:rowOff>
    </xdr:to>
    <xdr:sp macro="" textlink="$A$7">
      <xdr:nvSpPr>
        <xdr:cNvPr id="11" name="TextBox 10">
          <a:extLst>
            <a:ext uri="{FF2B5EF4-FFF2-40B4-BE49-F238E27FC236}">
              <a16:creationId xmlns:a16="http://schemas.microsoft.com/office/drawing/2014/main" id="{35324A09-800C-41F7-8752-7859F0846432}"/>
            </a:ext>
          </a:extLst>
        </xdr:cNvPr>
        <xdr:cNvSpPr txBox="1"/>
      </xdr:nvSpPr>
      <xdr:spPr>
        <a:xfrm>
          <a:off x="3676650" y="38100"/>
          <a:ext cx="69532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12ED09E-E73E-4330-B4DF-1BADE950B180}" type="TxLink">
            <a:rPr lang="en-US" sz="1800" b="0" i="0" u="none" strike="noStrike">
              <a:solidFill>
                <a:schemeClr val="bg1"/>
              </a:solidFill>
              <a:latin typeface="Aptos Narrow"/>
              <a:ea typeface="+mn-ea"/>
              <a:cs typeface="+mn-cs"/>
            </a:rPr>
            <a:pPr marL="0" indent="0"/>
            <a:t>23%</a:t>
          </a:fld>
          <a:endParaRPr lang="en-IN" sz="1800" b="0" i="0" u="none" strike="noStrike">
            <a:solidFill>
              <a:schemeClr val="bg1"/>
            </a:solidFill>
            <a:latin typeface="Aptos Narrow"/>
            <a:ea typeface="+mn-ea"/>
            <a:cs typeface="+mn-cs"/>
          </a:endParaRPr>
        </a:p>
      </xdr:txBody>
    </xdr:sp>
    <xdr:clientData/>
  </xdr:twoCellAnchor>
  <xdr:twoCellAnchor>
    <xdr:from>
      <xdr:col>5</xdr:col>
      <xdr:colOff>333375</xdr:colOff>
      <xdr:row>1</xdr:row>
      <xdr:rowOff>152400</xdr:rowOff>
    </xdr:from>
    <xdr:to>
      <xdr:col>7</xdr:col>
      <xdr:colOff>381000</xdr:colOff>
      <xdr:row>3</xdr:row>
      <xdr:rowOff>47625</xdr:rowOff>
    </xdr:to>
    <xdr:sp macro="" textlink="">
      <xdr:nvSpPr>
        <xdr:cNvPr id="12" name="TextBox 11">
          <a:extLst>
            <a:ext uri="{FF2B5EF4-FFF2-40B4-BE49-F238E27FC236}">
              <a16:creationId xmlns:a16="http://schemas.microsoft.com/office/drawing/2014/main" id="{A5390045-A76F-424B-8039-4A1E0FC08472}"/>
            </a:ext>
          </a:extLst>
        </xdr:cNvPr>
        <xdr:cNvSpPr txBox="1"/>
      </xdr:nvSpPr>
      <xdr:spPr>
        <a:xfrm>
          <a:off x="3381375" y="342900"/>
          <a:ext cx="12668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Attrition</a:t>
          </a:r>
          <a:r>
            <a:rPr lang="en-IN" sz="1400" b="1" baseline="0">
              <a:solidFill>
                <a:schemeClr val="bg1"/>
              </a:solidFill>
              <a:latin typeface="Sitka Heading" pitchFamily="2" charset="0"/>
            </a:rPr>
            <a:t> Rate</a:t>
          </a:r>
          <a:endParaRPr lang="en-IN" sz="1400" b="1">
            <a:solidFill>
              <a:schemeClr val="bg1"/>
            </a:solidFill>
            <a:latin typeface="Sitka Heading" pitchFamily="2" charset="0"/>
          </a:endParaRPr>
        </a:p>
      </xdr:txBody>
    </xdr:sp>
    <xdr:clientData/>
  </xdr:twoCellAnchor>
  <xdr:twoCellAnchor editAs="oneCell">
    <xdr:from>
      <xdr:col>8</xdr:col>
      <xdr:colOff>33337</xdr:colOff>
      <xdr:row>0</xdr:row>
      <xdr:rowOff>114300</xdr:rowOff>
    </xdr:from>
    <xdr:to>
      <xdr:col>9</xdr:col>
      <xdr:colOff>2015</xdr:colOff>
      <xdr:row>3</xdr:row>
      <xdr:rowOff>95250</xdr:rowOff>
    </xdr:to>
    <xdr:pic>
      <xdr:nvPicPr>
        <xdr:cNvPr id="13" name="Graphic 12" descr="Money with solid fill">
          <a:extLst>
            <a:ext uri="{FF2B5EF4-FFF2-40B4-BE49-F238E27FC236}">
              <a16:creationId xmlns:a16="http://schemas.microsoft.com/office/drawing/2014/main" id="{70867E37-F8DB-4F26-BCA6-FA96156AE45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910137" y="114300"/>
          <a:ext cx="578278" cy="552450"/>
        </a:xfrm>
        <a:prstGeom prst="rect">
          <a:avLst/>
        </a:prstGeom>
      </xdr:spPr>
    </xdr:pic>
    <xdr:clientData/>
  </xdr:twoCellAnchor>
  <xdr:twoCellAnchor>
    <xdr:from>
      <xdr:col>9</xdr:col>
      <xdr:colOff>161926</xdr:colOff>
      <xdr:row>0</xdr:row>
      <xdr:rowOff>38099</xdr:rowOff>
    </xdr:from>
    <xdr:to>
      <xdr:col>10</xdr:col>
      <xdr:colOff>596046</xdr:colOff>
      <xdr:row>1</xdr:row>
      <xdr:rowOff>152400</xdr:rowOff>
    </xdr:to>
    <xdr:sp macro="" textlink="$A$8">
      <xdr:nvSpPr>
        <xdr:cNvPr id="14" name="TextBox 13">
          <a:extLst>
            <a:ext uri="{FF2B5EF4-FFF2-40B4-BE49-F238E27FC236}">
              <a16:creationId xmlns:a16="http://schemas.microsoft.com/office/drawing/2014/main" id="{00994BB4-B3A3-4FA2-A052-DDB270EAF7B5}"/>
            </a:ext>
          </a:extLst>
        </xdr:cNvPr>
        <xdr:cNvSpPr txBox="1"/>
      </xdr:nvSpPr>
      <xdr:spPr>
        <a:xfrm>
          <a:off x="5648326" y="38099"/>
          <a:ext cx="1043720"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4E2274-E86C-4865-BB58-7BD8E3FCA497}" type="TxLink">
            <a:rPr lang="en-US" sz="1800" b="0" i="0" u="none" strike="noStrike">
              <a:solidFill>
                <a:schemeClr val="bg1"/>
              </a:solidFill>
              <a:latin typeface="Aptos Narrow"/>
              <a:ea typeface="+mn-ea"/>
              <a:cs typeface="+mn-cs"/>
            </a:rPr>
            <a:pPr marL="0" indent="0"/>
            <a:t> ₹ 82,763 </a:t>
          </a:fld>
          <a:endParaRPr lang="en-IN" sz="1800" b="0" i="0" u="none" strike="noStrike">
            <a:solidFill>
              <a:schemeClr val="bg1"/>
            </a:solidFill>
            <a:latin typeface="Aptos Narrow"/>
            <a:ea typeface="+mn-ea"/>
            <a:cs typeface="+mn-cs"/>
          </a:endParaRPr>
        </a:p>
      </xdr:txBody>
    </xdr:sp>
    <xdr:clientData/>
  </xdr:twoCellAnchor>
  <xdr:twoCellAnchor>
    <xdr:from>
      <xdr:col>9</xdr:col>
      <xdr:colOff>247650</xdr:colOff>
      <xdr:row>1</xdr:row>
      <xdr:rowOff>152399</xdr:rowOff>
    </xdr:from>
    <xdr:to>
      <xdr:col>11</xdr:col>
      <xdr:colOff>100379</xdr:colOff>
      <xdr:row>3</xdr:row>
      <xdr:rowOff>47624</xdr:rowOff>
    </xdr:to>
    <xdr:sp macro="" textlink="">
      <xdr:nvSpPr>
        <xdr:cNvPr id="15" name="TextBox 14">
          <a:extLst>
            <a:ext uri="{FF2B5EF4-FFF2-40B4-BE49-F238E27FC236}">
              <a16:creationId xmlns:a16="http://schemas.microsoft.com/office/drawing/2014/main" id="{ABE0ECA2-ED4F-4F3D-86A3-DFD82EC4B604}"/>
            </a:ext>
          </a:extLst>
        </xdr:cNvPr>
        <xdr:cNvSpPr txBox="1"/>
      </xdr:nvSpPr>
      <xdr:spPr>
        <a:xfrm>
          <a:off x="5734050" y="342899"/>
          <a:ext cx="107192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Avg</a:t>
          </a:r>
          <a:r>
            <a:rPr lang="en-IN" sz="1400" b="1" baseline="0">
              <a:solidFill>
                <a:schemeClr val="bg1"/>
              </a:solidFill>
              <a:latin typeface="Sitka Heading" pitchFamily="2" charset="0"/>
            </a:rPr>
            <a:t> Salary</a:t>
          </a:r>
          <a:endParaRPr lang="en-IN" sz="1400" b="1">
            <a:solidFill>
              <a:schemeClr val="bg1"/>
            </a:solidFill>
            <a:latin typeface="Sitka Heading" pitchFamily="2" charset="0"/>
          </a:endParaRPr>
        </a:p>
      </xdr:txBody>
    </xdr:sp>
    <xdr:clientData/>
  </xdr:twoCellAnchor>
  <xdr:twoCellAnchor editAs="oneCell">
    <xdr:from>
      <xdr:col>11</xdr:col>
      <xdr:colOff>383381</xdr:colOff>
      <xdr:row>0</xdr:row>
      <xdr:rowOff>161925</xdr:rowOff>
    </xdr:from>
    <xdr:to>
      <xdr:col>12</xdr:col>
      <xdr:colOff>317356</xdr:colOff>
      <xdr:row>3</xdr:row>
      <xdr:rowOff>142875</xdr:rowOff>
    </xdr:to>
    <xdr:pic>
      <xdr:nvPicPr>
        <xdr:cNvPr id="16" name="Graphic 15" descr="Business Growth with solid fill">
          <a:extLst>
            <a:ext uri="{FF2B5EF4-FFF2-40B4-BE49-F238E27FC236}">
              <a16:creationId xmlns:a16="http://schemas.microsoft.com/office/drawing/2014/main" id="{2DB36AFC-10B0-4269-B9AF-DBDC3B3381C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7088981" y="161925"/>
          <a:ext cx="543575" cy="552450"/>
        </a:xfrm>
        <a:prstGeom prst="rect">
          <a:avLst/>
        </a:prstGeom>
      </xdr:spPr>
    </xdr:pic>
    <xdr:clientData/>
  </xdr:twoCellAnchor>
  <xdr:twoCellAnchor>
    <xdr:from>
      <xdr:col>13</xdr:col>
      <xdr:colOff>19050</xdr:colOff>
      <xdr:row>0</xdr:row>
      <xdr:rowOff>57149</xdr:rowOff>
    </xdr:from>
    <xdr:to>
      <xdr:col>14</xdr:col>
      <xdr:colOff>93605</xdr:colOff>
      <xdr:row>1</xdr:row>
      <xdr:rowOff>171450</xdr:rowOff>
    </xdr:to>
    <xdr:sp macro="" textlink="$A$9">
      <xdr:nvSpPr>
        <xdr:cNvPr id="17" name="TextBox 16">
          <a:extLst>
            <a:ext uri="{FF2B5EF4-FFF2-40B4-BE49-F238E27FC236}">
              <a16:creationId xmlns:a16="http://schemas.microsoft.com/office/drawing/2014/main" id="{8B256A46-D604-4C21-B4FC-629F9CB2E117}"/>
            </a:ext>
          </a:extLst>
        </xdr:cNvPr>
        <xdr:cNvSpPr txBox="1"/>
      </xdr:nvSpPr>
      <xdr:spPr>
        <a:xfrm>
          <a:off x="7943850" y="57149"/>
          <a:ext cx="68415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E448AB-FCB2-4921-87D5-48AE25063AE0}" type="TxLink">
            <a:rPr lang="en-US" sz="1800" b="0" i="0" u="none" strike="noStrike">
              <a:solidFill>
                <a:schemeClr val="bg1"/>
              </a:solidFill>
              <a:latin typeface="Aptos Narrow"/>
              <a:ea typeface="+mn-ea"/>
              <a:cs typeface="+mn-cs"/>
            </a:rPr>
            <a:pPr marL="0" indent="0"/>
            <a:t>3.99</a:t>
          </a:fld>
          <a:endParaRPr lang="en-IN" sz="1800" b="0" i="0" u="none" strike="noStrike">
            <a:solidFill>
              <a:schemeClr val="bg1"/>
            </a:solidFill>
            <a:latin typeface="Aptos Narrow"/>
            <a:ea typeface="+mn-ea"/>
            <a:cs typeface="+mn-cs"/>
          </a:endParaRPr>
        </a:p>
      </xdr:txBody>
    </xdr:sp>
    <xdr:clientData/>
  </xdr:twoCellAnchor>
  <xdr:twoCellAnchor>
    <xdr:from>
      <xdr:col>12</xdr:col>
      <xdr:colOff>247651</xdr:colOff>
      <xdr:row>1</xdr:row>
      <xdr:rowOff>161924</xdr:rowOff>
    </xdr:from>
    <xdr:to>
      <xdr:col>14</xdr:col>
      <xdr:colOff>600075</xdr:colOff>
      <xdr:row>3</xdr:row>
      <xdr:rowOff>57149</xdr:rowOff>
    </xdr:to>
    <xdr:sp macro="" textlink="">
      <xdr:nvSpPr>
        <xdr:cNvPr id="18" name="TextBox 17">
          <a:extLst>
            <a:ext uri="{FF2B5EF4-FFF2-40B4-BE49-F238E27FC236}">
              <a16:creationId xmlns:a16="http://schemas.microsoft.com/office/drawing/2014/main" id="{F02FF9B0-3BEB-475C-90CC-0918576B5250}"/>
            </a:ext>
          </a:extLst>
        </xdr:cNvPr>
        <xdr:cNvSpPr txBox="1"/>
      </xdr:nvSpPr>
      <xdr:spPr>
        <a:xfrm>
          <a:off x="7562851" y="352424"/>
          <a:ext cx="157162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Avg</a:t>
          </a:r>
          <a:r>
            <a:rPr lang="en-IN" sz="1400" b="1" baseline="0">
              <a:solidFill>
                <a:schemeClr val="bg1"/>
              </a:solidFill>
              <a:latin typeface="Sitka Heading" pitchFamily="2" charset="0"/>
            </a:rPr>
            <a:t> Performance</a:t>
          </a:r>
          <a:endParaRPr lang="en-IN" sz="1400" b="1">
            <a:solidFill>
              <a:schemeClr val="bg1"/>
            </a:solidFill>
            <a:latin typeface="Sitka Heading" pitchFamily="2" charset="0"/>
          </a:endParaRPr>
        </a:p>
      </xdr:txBody>
    </xdr:sp>
    <xdr:clientData/>
  </xdr:twoCellAnchor>
  <xdr:twoCellAnchor editAs="oneCell">
    <xdr:from>
      <xdr:col>15</xdr:col>
      <xdr:colOff>192881</xdr:colOff>
      <xdr:row>0</xdr:row>
      <xdr:rowOff>161925</xdr:rowOff>
    </xdr:from>
    <xdr:to>
      <xdr:col>16</xdr:col>
      <xdr:colOff>103669</xdr:colOff>
      <xdr:row>3</xdr:row>
      <xdr:rowOff>142875</xdr:rowOff>
    </xdr:to>
    <xdr:pic>
      <xdr:nvPicPr>
        <xdr:cNvPr id="19" name="Graphic 18" descr="Man and woman with solid fill">
          <a:extLst>
            <a:ext uri="{FF2B5EF4-FFF2-40B4-BE49-F238E27FC236}">
              <a16:creationId xmlns:a16="http://schemas.microsoft.com/office/drawing/2014/main" id="{C2F50CF0-07B6-4A36-9E6B-B11F2DD560D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9336881" y="161925"/>
          <a:ext cx="520388" cy="552450"/>
        </a:xfrm>
        <a:prstGeom prst="rect">
          <a:avLst/>
        </a:prstGeom>
      </xdr:spPr>
    </xdr:pic>
    <xdr:clientData/>
  </xdr:twoCellAnchor>
  <xdr:twoCellAnchor>
    <xdr:from>
      <xdr:col>16</xdr:col>
      <xdr:colOff>514350</xdr:colOff>
      <xdr:row>0</xdr:row>
      <xdr:rowOff>47624</xdr:rowOff>
    </xdr:from>
    <xdr:to>
      <xdr:col>18</xdr:col>
      <xdr:colOff>120594</xdr:colOff>
      <xdr:row>1</xdr:row>
      <xdr:rowOff>161925</xdr:rowOff>
    </xdr:to>
    <xdr:sp macro="" textlink="$A$10">
      <xdr:nvSpPr>
        <xdr:cNvPr id="20" name="TextBox 19">
          <a:extLst>
            <a:ext uri="{FF2B5EF4-FFF2-40B4-BE49-F238E27FC236}">
              <a16:creationId xmlns:a16="http://schemas.microsoft.com/office/drawing/2014/main" id="{EBFBBF46-BF93-4689-A748-45F211982CE6}"/>
            </a:ext>
          </a:extLst>
        </xdr:cNvPr>
        <xdr:cNvSpPr txBox="1"/>
      </xdr:nvSpPr>
      <xdr:spPr>
        <a:xfrm>
          <a:off x="10267950" y="47624"/>
          <a:ext cx="825444"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3EA4933-00F9-4637-A6B5-E572540FEDC1}" type="TxLink">
            <a:rPr lang="en-US" sz="1800" b="0" i="0" u="none" strike="noStrike">
              <a:solidFill>
                <a:schemeClr val="bg1"/>
              </a:solidFill>
              <a:latin typeface="Aptos Narrow"/>
              <a:ea typeface="+mn-ea"/>
              <a:cs typeface="+mn-cs"/>
            </a:rPr>
            <a:pPr marL="0" indent="0"/>
            <a:t>100%</a:t>
          </a:fld>
          <a:endParaRPr lang="en-IN" sz="1800" b="0" i="0" u="none" strike="noStrike">
            <a:solidFill>
              <a:schemeClr val="bg1"/>
            </a:solidFill>
            <a:latin typeface="Aptos Narrow"/>
            <a:ea typeface="+mn-ea"/>
            <a:cs typeface="+mn-cs"/>
          </a:endParaRPr>
        </a:p>
      </xdr:txBody>
    </xdr:sp>
    <xdr:clientData/>
  </xdr:twoCellAnchor>
  <xdr:twoCellAnchor>
    <xdr:from>
      <xdr:col>16</xdr:col>
      <xdr:colOff>323851</xdr:colOff>
      <xdr:row>1</xdr:row>
      <xdr:rowOff>142874</xdr:rowOff>
    </xdr:from>
    <xdr:to>
      <xdr:col>18</xdr:col>
      <xdr:colOff>253094</xdr:colOff>
      <xdr:row>3</xdr:row>
      <xdr:rowOff>38099</xdr:rowOff>
    </xdr:to>
    <xdr:sp macro="" textlink="">
      <xdr:nvSpPr>
        <xdr:cNvPr id="21" name="TextBox 20">
          <a:extLst>
            <a:ext uri="{FF2B5EF4-FFF2-40B4-BE49-F238E27FC236}">
              <a16:creationId xmlns:a16="http://schemas.microsoft.com/office/drawing/2014/main" id="{217C6B3E-ACFE-443D-8110-AB4AAF356CE3}"/>
            </a:ext>
          </a:extLst>
        </xdr:cNvPr>
        <xdr:cNvSpPr txBox="1"/>
      </xdr:nvSpPr>
      <xdr:spPr>
        <a:xfrm>
          <a:off x="10077451" y="333374"/>
          <a:ext cx="1148443"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Diversity</a:t>
          </a:r>
          <a:r>
            <a:rPr lang="en-IN" sz="1400" b="1" baseline="0">
              <a:solidFill>
                <a:schemeClr val="bg1"/>
              </a:solidFill>
              <a:latin typeface="Sitka Heading" pitchFamily="2" charset="0"/>
            </a:rPr>
            <a:t> %</a:t>
          </a:r>
          <a:endParaRPr lang="en-IN" sz="1400" b="1">
            <a:solidFill>
              <a:schemeClr val="bg1"/>
            </a:solidFill>
            <a:latin typeface="Sitka Heading" pitchFamily="2" charset="0"/>
          </a:endParaRPr>
        </a:p>
      </xdr:txBody>
    </xdr:sp>
    <xdr:clientData/>
  </xdr:twoCellAnchor>
  <xdr:twoCellAnchor editAs="oneCell">
    <xdr:from>
      <xdr:col>18</xdr:col>
      <xdr:colOff>381000</xdr:colOff>
      <xdr:row>0</xdr:row>
      <xdr:rowOff>47626</xdr:rowOff>
    </xdr:from>
    <xdr:to>
      <xdr:col>21</xdr:col>
      <xdr:colOff>408226</xdr:colOff>
      <xdr:row>3</xdr:row>
      <xdr:rowOff>124126</xdr:rowOff>
    </xdr:to>
    <mc:AlternateContent xmlns:mc="http://schemas.openxmlformats.org/markup-compatibility/2006" xmlns:a14="http://schemas.microsoft.com/office/drawing/2010/main">
      <mc:Choice Requires="a14">
        <xdr:graphicFrame macro="">
          <xdr:nvGraphicFramePr>
            <xdr:cNvPr id="22" name="Gender 4">
              <a:extLst>
                <a:ext uri="{FF2B5EF4-FFF2-40B4-BE49-F238E27FC236}">
                  <a16:creationId xmlns:a16="http://schemas.microsoft.com/office/drawing/2014/main" id="{98BF661B-A806-4A7B-896A-896CCF2E0661}"/>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1353800" y="47626"/>
              <a:ext cx="1856026"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18</xdr:row>
      <xdr:rowOff>76200</xdr:rowOff>
    </xdr:from>
    <xdr:to>
      <xdr:col>21</xdr:col>
      <xdr:colOff>415650</xdr:colOff>
      <xdr:row>29</xdr:row>
      <xdr:rowOff>142875</xdr:rowOff>
    </xdr:to>
    <mc:AlternateContent xmlns:mc="http://schemas.openxmlformats.org/markup-compatibility/2006" xmlns:a14="http://schemas.microsoft.com/office/drawing/2010/main">
      <mc:Choice Requires="a14">
        <xdr:graphicFrame macro="">
          <xdr:nvGraphicFramePr>
            <xdr:cNvPr id="23" name="Department 4">
              <a:extLst>
                <a:ext uri="{FF2B5EF4-FFF2-40B4-BE49-F238E27FC236}">
                  <a16:creationId xmlns:a16="http://schemas.microsoft.com/office/drawing/2014/main" id="{018CA084-1D0E-4255-B46E-6DF661E431B1}"/>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11353800" y="3276600"/>
              <a:ext cx="1863450" cy="1990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3</xdr:row>
      <xdr:rowOff>152400</xdr:rowOff>
    </xdr:from>
    <xdr:to>
      <xdr:col>21</xdr:col>
      <xdr:colOff>408226</xdr:colOff>
      <xdr:row>7</xdr:row>
      <xdr:rowOff>2400</xdr:rowOff>
    </xdr:to>
    <mc:AlternateContent xmlns:mc="http://schemas.openxmlformats.org/markup-compatibility/2006" xmlns:a14="http://schemas.microsoft.com/office/drawing/2010/main">
      <mc:Choice Requires="a14">
        <xdr:graphicFrame macro="">
          <xdr:nvGraphicFramePr>
            <xdr:cNvPr id="24" name="Attrition 4">
              <a:extLst>
                <a:ext uri="{FF2B5EF4-FFF2-40B4-BE49-F238E27FC236}">
                  <a16:creationId xmlns:a16="http://schemas.microsoft.com/office/drawing/2014/main" id="{B4998F9E-D1EE-49D1-AC41-3B87880DF94A}"/>
                </a:ext>
              </a:extLst>
            </xdr:cNvPr>
            <xdr:cNvGraphicFramePr/>
          </xdr:nvGraphicFramePr>
          <xdr:xfrm>
            <a:off x="0" y="0"/>
            <a:ext cx="0" cy="0"/>
          </xdr:xfrm>
          <a:graphic>
            <a:graphicData uri="http://schemas.microsoft.com/office/drawing/2010/slicer">
              <sle:slicer xmlns:sle="http://schemas.microsoft.com/office/drawing/2010/slicer" name="Attrition 4"/>
            </a:graphicData>
          </a:graphic>
        </xdr:graphicFrame>
      </mc:Choice>
      <mc:Fallback xmlns="">
        <xdr:sp macro="" textlink="">
          <xdr:nvSpPr>
            <xdr:cNvPr id="0" name=""/>
            <xdr:cNvSpPr>
              <a:spLocks noTextEdit="1"/>
            </xdr:cNvSpPr>
          </xdr:nvSpPr>
          <xdr:spPr>
            <a:xfrm>
              <a:off x="11353800" y="723900"/>
              <a:ext cx="1856026"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7</xdr:row>
      <xdr:rowOff>28575</xdr:rowOff>
    </xdr:from>
    <xdr:to>
      <xdr:col>21</xdr:col>
      <xdr:colOff>415650</xdr:colOff>
      <xdr:row>18</xdr:row>
      <xdr:rowOff>28575</xdr:rowOff>
    </xdr:to>
    <mc:AlternateContent xmlns:mc="http://schemas.openxmlformats.org/markup-compatibility/2006" xmlns:a14="http://schemas.microsoft.com/office/drawing/2010/main">
      <mc:Choice Requires="a14">
        <xdr:graphicFrame macro="">
          <xdr:nvGraphicFramePr>
            <xdr:cNvPr id="25" name="WorkLocation 4">
              <a:extLst>
                <a:ext uri="{FF2B5EF4-FFF2-40B4-BE49-F238E27FC236}">
                  <a16:creationId xmlns:a16="http://schemas.microsoft.com/office/drawing/2014/main" id="{B50F8B91-AE3E-4BA8-94DA-F62C3EC1A85A}"/>
                </a:ext>
              </a:extLst>
            </xdr:cNvPr>
            <xdr:cNvGraphicFramePr/>
          </xdr:nvGraphicFramePr>
          <xdr:xfrm>
            <a:off x="0" y="0"/>
            <a:ext cx="0" cy="0"/>
          </xdr:xfrm>
          <a:graphic>
            <a:graphicData uri="http://schemas.microsoft.com/office/drawing/2010/slicer">
              <sle:slicer xmlns:sle="http://schemas.microsoft.com/office/drawing/2010/slicer" name="WorkLocation 4"/>
            </a:graphicData>
          </a:graphic>
        </xdr:graphicFrame>
      </mc:Choice>
      <mc:Fallback xmlns="">
        <xdr:sp macro="" textlink="">
          <xdr:nvSpPr>
            <xdr:cNvPr id="0" name=""/>
            <xdr:cNvSpPr>
              <a:spLocks noTextEdit="1"/>
            </xdr:cNvSpPr>
          </xdr:nvSpPr>
          <xdr:spPr>
            <a:xfrm>
              <a:off x="11353800" y="1362075"/>
              <a:ext cx="1863450" cy="1885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76199</xdr:colOff>
      <xdr:row>4</xdr:row>
      <xdr:rowOff>114300</xdr:rowOff>
    </xdr:from>
    <xdr:to>
      <xdr:col>10</xdr:col>
      <xdr:colOff>485775</xdr:colOff>
      <xdr:row>17</xdr:row>
      <xdr:rowOff>85725</xdr:rowOff>
    </xdr:to>
    <xdr:graphicFrame macro="">
      <xdr:nvGraphicFramePr>
        <xdr:cNvPr id="26" name="Chart 25">
          <a:extLst>
            <a:ext uri="{FF2B5EF4-FFF2-40B4-BE49-F238E27FC236}">
              <a16:creationId xmlns:a16="http://schemas.microsoft.com/office/drawing/2014/main" id="{3D7AC613-0F15-4AED-8E26-6228D7172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9524</xdr:colOff>
      <xdr:row>4</xdr:row>
      <xdr:rowOff>104775</xdr:rowOff>
    </xdr:from>
    <xdr:to>
      <xdr:col>18</xdr:col>
      <xdr:colOff>228599</xdr:colOff>
      <xdr:row>17</xdr:row>
      <xdr:rowOff>85724</xdr:rowOff>
    </xdr:to>
    <xdr:graphicFrame macro="">
      <xdr:nvGraphicFramePr>
        <xdr:cNvPr id="27" name="Chart 26">
          <a:extLst>
            <a:ext uri="{FF2B5EF4-FFF2-40B4-BE49-F238E27FC236}">
              <a16:creationId xmlns:a16="http://schemas.microsoft.com/office/drawing/2014/main" id="{4F268E3F-30E7-4150-BDF6-DE9B39809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85723</xdr:colOff>
      <xdr:row>17</xdr:row>
      <xdr:rowOff>152400</xdr:rowOff>
    </xdr:from>
    <xdr:to>
      <xdr:col>9</xdr:col>
      <xdr:colOff>523874</xdr:colOff>
      <xdr:row>29</xdr:row>
      <xdr:rowOff>142875</xdr:rowOff>
    </xdr:to>
    <xdr:graphicFrame macro="">
      <xdr:nvGraphicFramePr>
        <xdr:cNvPr id="28" name="Chart 27">
          <a:extLst>
            <a:ext uri="{FF2B5EF4-FFF2-40B4-BE49-F238E27FC236}">
              <a16:creationId xmlns:a16="http://schemas.microsoft.com/office/drawing/2014/main" id="{D6AE9A31-05E3-4004-9AB6-27F4C1324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66675</xdr:colOff>
      <xdr:row>17</xdr:row>
      <xdr:rowOff>152400</xdr:rowOff>
    </xdr:from>
    <xdr:to>
      <xdr:col>18</xdr:col>
      <xdr:colOff>238124</xdr:colOff>
      <xdr:row>29</xdr:row>
      <xdr:rowOff>142875</xdr:rowOff>
    </xdr:to>
    <xdr:graphicFrame macro="">
      <xdr:nvGraphicFramePr>
        <xdr:cNvPr id="29" name="Chart 28">
          <a:extLst>
            <a:ext uri="{FF2B5EF4-FFF2-40B4-BE49-F238E27FC236}">
              <a16:creationId xmlns:a16="http://schemas.microsoft.com/office/drawing/2014/main" id="{496DFA17-AA2B-402A-9605-2E0DCB1EF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38100</xdr:colOff>
      <xdr:row>1</xdr:row>
      <xdr:rowOff>0</xdr:rowOff>
    </xdr:from>
    <xdr:to>
      <xdr:col>0</xdr:col>
      <xdr:colOff>514350</xdr:colOff>
      <xdr:row>3</xdr:row>
      <xdr:rowOff>152400</xdr:rowOff>
    </xdr:to>
    <xdr:sp macro="" textlink="">
      <xdr:nvSpPr>
        <xdr:cNvPr id="31" name="Arrow: Left 30">
          <a:extLst>
            <a:ext uri="{FF2B5EF4-FFF2-40B4-BE49-F238E27FC236}">
              <a16:creationId xmlns:a16="http://schemas.microsoft.com/office/drawing/2014/main" id="{88D4A317-C190-411F-B0C5-2913B5FDE63C}"/>
            </a:ext>
          </a:extLst>
        </xdr:cNvPr>
        <xdr:cNvSpPr/>
      </xdr:nvSpPr>
      <xdr:spPr>
        <a:xfrm>
          <a:off x="38100" y="190500"/>
          <a:ext cx="476250" cy="533400"/>
        </a:xfrm>
        <a:prstGeom prst="leftArrow">
          <a:avLst/>
        </a:prstGeom>
        <a:solidFill>
          <a:schemeClr val="bg1">
            <a:lumMod val="6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1</xdr:row>
      <xdr:rowOff>152400</xdr:rowOff>
    </xdr:from>
    <xdr:to>
      <xdr:col>0</xdr:col>
      <xdr:colOff>533400</xdr:colOff>
      <xdr:row>3</xdr:row>
      <xdr:rowOff>76200</xdr:rowOff>
    </xdr:to>
    <xdr:sp macro="" textlink="">
      <xdr:nvSpPr>
        <xdr:cNvPr id="32" name="TextBox 31">
          <a:hlinkClick xmlns:r="http://schemas.openxmlformats.org/officeDocument/2006/relationships" r:id="rId15"/>
          <a:extLst>
            <a:ext uri="{FF2B5EF4-FFF2-40B4-BE49-F238E27FC236}">
              <a16:creationId xmlns:a16="http://schemas.microsoft.com/office/drawing/2014/main" id="{01E2D9DC-6F58-410F-960F-72108188292B}"/>
            </a:ext>
          </a:extLst>
        </xdr:cNvPr>
        <xdr:cNvSpPr txBox="1"/>
      </xdr:nvSpPr>
      <xdr:spPr>
        <a:xfrm>
          <a:off x="66675" y="342900"/>
          <a:ext cx="4667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lumMod val="95000"/>
                </a:schemeClr>
              </a:solidFill>
            </a:rPr>
            <a:t>Back</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561976</xdr:colOff>
      <xdr:row>0</xdr:row>
      <xdr:rowOff>57150</xdr:rowOff>
    </xdr:from>
    <xdr:to>
      <xdr:col>4</xdr:col>
      <xdr:colOff>161926</xdr:colOff>
      <xdr:row>4</xdr:row>
      <xdr:rowOff>57150</xdr:rowOff>
    </xdr:to>
    <xdr:sp macro="" textlink="">
      <xdr:nvSpPr>
        <xdr:cNvPr id="2" name="Rectangle: Rounded Corners 1">
          <a:extLst>
            <a:ext uri="{FF2B5EF4-FFF2-40B4-BE49-F238E27FC236}">
              <a16:creationId xmlns:a16="http://schemas.microsoft.com/office/drawing/2014/main" id="{6F223598-893B-4013-9C11-34B38C04E89F}"/>
            </a:ext>
          </a:extLst>
        </xdr:cNvPr>
        <xdr:cNvSpPr/>
      </xdr:nvSpPr>
      <xdr:spPr>
        <a:xfrm>
          <a:off x="561976" y="57150"/>
          <a:ext cx="2038350" cy="762000"/>
        </a:xfrm>
        <a:prstGeom prst="roundRect">
          <a:avLst/>
        </a:prstGeom>
        <a:solidFill>
          <a:srgbClr val="FF0000">
            <a:alpha val="92000"/>
          </a:srgbClr>
        </a:solidFill>
        <a:ln>
          <a:noFill/>
          <a:prstDash val="sysDash"/>
        </a:ln>
        <a:effectLst>
          <a:outerShdw blurRad="76200" dist="38100" dir="2700000" algn="tl" rotWithShape="0">
            <a:schemeClr val="bg1">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a:noFill/>
            </a:ln>
            <a:solidFill>
              <a:schemeClr val="tx1"/>
            </a:solidFill>
            <a:effectLst/>
          </a:endParaRPr>
        </a:p>
      </xdr:txBody>
    </xdr:sp>
    <xdr:clientData/>
  </xdr:twoCellAnchor>
  <xdr:twoCellAnchor>
    <xdr:from>
      <xdr:col>4</xdr:col>
      <xdr:colOff>209550</xdr:colOff>
      <xdr:row>0</xdr:row>
      <xdr:rowOff>57150</xdr:rowOff>
    </xdr:from>
    <xdr:to>
      <xdr:col>7</xdr:col>
      <xdr:colOff>390525</xdr:colOff>
      <xdr:row>4</xdr:row>
      <xdr:rowOff>57150</xdr:rowOff>
    </xdr:to>
    <xdr:sp macro="" textlink="">
      <xdr:nvSpPr>
        <xdr:cNvPr id="3" name="Rectangle: Rounded Corners 2">
          <a:extLst>
            <a:ext uri="{FF2B5EF4-FFF2-40B4-BE49-F238E27FC236}">
              <a16:creationId xmlns:a16="http://schemas.microsoft.com/office/drawing/2014/main" id="{AE5F48B9-02EB-4970-A1D8-E39912ABC82E}"/>
            </a:ext>
          </a:extLst>
        </xdr:cNvPr>
        <xdr:cNvSpPr/>
      </xdr:nvSpPr>
      <xdr:spPr>
        <a:xfrm>
          <a:off x="2647950" y="57150"/>
          <a:ext cx="2009775" cy="762000"/>
        </a:xfrm>
        <a:prstGeom prst="roundRect">
          <a:avLst/>
        </a:prstGeom>
        <a:effectLst>
          <a:outerShdw blurRad="76200" dist="38100" dir="2700000" algn="tl" rotWithShape="0">
            <a:schemeClr val="bg1">
              <a:lumMod val="50000"/>
              <a:alpha val="40000"/>
            </a:scheme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457200</xdr:colOff>
      <xdr:row>0</xdr:row>
      <xdr:rowOff>57150</xdr:rowOff>
    </xdr:from>
    <xdr:to>
      <xdr:col>11</xdr:col>
      <xdr:colOff>123824</xdr:colOff>
      <xdr:row>4</xdr:row>
      <xdr:rowOff>57150</xdr:rowOff>
    </xdr:to>
    <xdr:sp macro="" textlink="">
      <xdr:nvSpPr>
        <xdr:cNvPr id="4" name="Rectangle: Rounded Corners 3">
          <a:extLst>
            <a:ext uri="{FF2B5EF4-FFF2-40B4-BE49-F238E27FC236}">
              <a16:creationId xmlns:a16="http://schemas.microsoft.com/office/drawing/2014/main" id="{7E783B0D-1289-48BA-A655-167446BF0F5F}"/>
            </a:ext>
          </a:extLst>
        </xdr:cNvPr>
        <xdr:cNvSpPr/>
      </xdr:nvSpPr>
      <xdr:spPr>
        <a:xfrm>
          <a:off x="4724400" y="57150"/>
          <a:ext cx="2105024" cy="762000"/>
        </a:xfrm>
        <a:prstGeom prst="roundRect">
          <a:avLst/>
        </a:prstGeom>
        <a:ln>
          <a:noFill/>
        </a:ln>
        <a:effectLst>
          <a:outerShdw blurRad="76200" dist="38100" dir="2700000" algn="tl" rotWithShape="0">
            <a:schemeClr val="bg1">
              <a:lumMod val="50000"/>
              <a:alpha val="40000"/>
            </a:scheme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180975</xdr:colOff>
      <xdr:row>0</xdr:row>
      <xdr:rowOff>57150</xdr:rowOff>
    </xdr:from>
    <xdr:to>
      <xdr:col>15</xdr:col>
      <xdr:colOff>123824</xdr:colOff>
      <xdr:row>4</xdr:row>
      <xdr:rowOff>57150</xdr:rowOff>
    </xdr:to>
    <xdr:sp macro="" textlink="">
      <xdr:nvSpPr>
        <xdr:cNvPr id="5" name="Rectangle: Rounded Corners 4">
          <a:extLst>
            <a:ext uri="{FF2B5EF4-FFF2-40B4-BE49-F238E27FC236}">
              <a16:creationId xmlns:a16="http://schemas.microsoft.com/office/drawing/2014/main" id="{0E0A89EE-05CC-4E79-A5C5-B132F2E81DC9}"/>
            </a:ext>
          </a:extLst>
        </xdr:cNvPr>
        <xdr:cNvSpPr/>
      </xdr:nvSpPr>
      <xdr:spPr>
        <a:xfrm>
          <a:off x="6886575" y="57150"/>
          <a:ext cx="2381249" cy="762000"/>
        </a:xfrm>
        <a:prstGeom prst="roundRect">
          <a:avLst/>
        </a:prstGeom>
        <a:ln>
          <a:noFill/>
        </a:ln>
        <a:effectLst>
          <a:outerShdw blurRad="76200" dist="38100" dir="2700000" algn="tl" rotWithShape="0">
            <a:schemeClr val="bg1">
              <a:lumMod val="50000"/>
              <a:alpha val="40000"/>
            </a:scheme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180975</xdr:colOff>
      <xdr:row>0</xdr:row>
      <xdr:rowOff>57150</xdr:rowOff>
    </xdr:from>
    <xdr:to>
      <xdr:col>18</xdr:col>
      <xdr:colOff>323850</xdr:colOff>
      <xdr:row>4</xdr:row>
      <xdr:rowOff>57150</xdr:rowOff>
    </xdr:to>
    <xdr:sp macro="" textlink="">
      <xdr:nvSpPr>
        <xdr:cNvPr id="6" name="Rectangle: Rounded Corners 5">
          <a:extLst>
            <a:ext uri="{FF2B5EF4-FFF2-40B4-BE49-F238E27FC236}">
              <a16:creationId xmlns:a16="http://schemas.microsoft.com/office/drawing/2014/main" id="{BF5C9AC9-3422-4F1A-A518-4C15B126F349}"/>
            </a:ext>
          </a:extLst>
        </xdr:cNvPr>
        <xdr:cNvSpPr/>
      </xdr:nvSpPr>
      <xdr:spPr>
        <a:xfrm>
          <a:off x="9324975" y="57150"/>
          <a:ext cx="1971675" cy="762000"/>
        </a:xfrm>
        <a:prstGeom prst="roundRect">
          <a:avLst/>
        </a:prstGeom>
        <a:ln>
          <a:noFill/>
        </a:ln>
        <a:effectLst>
          <a:innerShdw blurRad="114300">
            <a:prstClr val="black"/>
          </a:inn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419101</xdr:colOff>
      <xdr:row>0</xdr:row>
      <xdr:rowOff>38099</xdr:rowOff>
    </xdr:from>
    <xdr:to>
      <xdr:col>3</xdr:col>
      <xdr:colOff>480535</xdr:colOff>
      <xdr:row>1</xdr:row>
      <xdr:rowOff>152400</xdr:rowOff>
    </xdr:to>
    <xdr:sp macro="" textlink="$A$6">
      <xdr:nvSpPr>
        <xdr:cNvPr id="7" name="TextBox 6">
          <a:extLst>
            <a:ext uri="{FF2B5EF4-FFF2-40B4-BE49-F238E27FC236}">
              <a16:creationId xmlns:a16="http://schemas.microsoft.com/office/drawing/2014/main" id="{19AB53E8-2986-417C-8900-A40779736533}"/>
            </a:ext>
          </a:extLst>
        </xdr:cNvPr>
        <xdr:cNvSpPr txBox="1"/>
      </xdr:nvSpPr>
      <xdr:spPr>
        <a:xfrm>
          <a:off x="1638301" y="38099"/>
          <a:ext cx="671034"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2FCAA9-9AFB-461E-A7A7-70A5D6B91F8C}" type="TxLink">
            <a:rPr lang="en-US" sz="1800" b="0" i="0" u="none" strike="noStrike">
              <a:solidFill>
                <a:schemeClr val="bg1"/>
              </a:solidFill>
              <a:latin typeface="Aptos Narrow"/>
            </a:rPr>
            <a:pPr/>
            <a:t>300</a:t>
          </a:fld>
          <a:endParaRPr lang="en-IN" sz="1800">
            <a:solidFill>
              <a:schemeClr val="bg1"/>
            </a:solidFill>
          </a:endParaRPr>
        </a:p>
      </xdr:txBody>
    </xdr:sp>
    <xdr:clientData/>
  </xdr:twoCellAnchor>
  <xdr:twoCellAnchor editAs="oneCell">
    <xdr:from>
      <xdr:col>1</xdr:col>
      <xdr:colOff>114301</xdr:colOff>
      <xdr:row>0</xdr:row>
      <xdr:rowOff>114302</xdr:rowOff>
    </xdr:from>
    <xdr:to>
      <xdr:col>2</xdr:col>
      <xdr:colOff>120581</xdr:colOff>
      <xdr:row>3</xdr:row>
      <xdr:rowOff>180976</xdr:rowOff>
    </xdr:to>
    <xdr:pic>
      <xdr:nvPicPr>
        <xdr:cNvPr id="8" name="Graphic 7" descr="Connections with solid fill">
          <a:extLst>
            <a:ext uri="{FF2B5EF4-FFF2-40B4-BE49-F238E27FC236}">
              <a16:creationId xmlns:a16="http://schemas.microsoft.com/office/drawing/2014/main" id="{BD092658-0E41-4D4C-9110-2161ECE6C6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723901" y="114302"/>
          <a:ext cx="615880" cy="638174"/>
        </a:xfrm>
        <a:prstGeom prst="rect">
          <a:avLst/>
        </a:prstGeom>
      </xdr:spPr>
    </xdr:pic>
    <xdr:clientData/>
  </xdr:twoCellAnchor>
  <xdr:twoCellAnchor>
    <xdr:from>
      <xdr:col>2</xdr:col>
      <xdr:colOff>180975</xdr:colOff>
      <xdr:row>1</xdr:row>
      <xdr:rowOff>161924</xdr:rowOff>
    </xdr:from>
    <xdr:to>
      <xdr:col>4</xdr:col>
      <xdr:colOff>95250</xdr:colOff>
      <xdr:row>3</xdr:row>
      <xdr:rowOff>57149</xdr:rowOff>
    </xdr:to>
    <xdr:sp macro="" textlink="">
      <xdr:nvSpPr>
        <xdr:cNvPr id="9" name="TextBox 8">
          <a:extLst>
            <a:ext uri="{FF2B5EF4-FFF2-40B4-BE49-F238E27FC236}">
              <a16:creationId xmlns:a16="http://schemas.microsoft.com/office/drawing/2014/main" id="{FBB5B423-35F3-4F3C-8894-A6C56271F53D}"/>
            </a:ext>
          </a:extLst>
        </xdr:cNvPr>
        <xdr:cNvSpPr txBox="1"/>
      </xdr:nvSpPr>
      <xdr:spPr>
        <a:xfrm>
          <a:off x="1400175" y="352424"/>
          <a:ext cx="1133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Head Count</a:t>
          </a:r>
        </a:p>
      </xdr:txBody>
    </xdr:sp>
    <xdr:clientData/>
  </xdr:twoCellAnchor>
  <xdr:twoCellAnchor editAs="oneCell">
    <xdr:from>
      <xdr:col>4</xdr:col>
      <xdr:colOff>285751</xdr:colOff>
      <xdr:row>0</xdr:row>
      <xdr:rowOff>152401</xdr:rowOff>
    </xdr:from>
    <xdr:to>
      <xdr:col>5</xdr:col>
      <xdr:colOff>314325</xdr:colOff>
      <xdr:row>3</xdr:row>
      <xdr:rowOff>133351</xdr:rowOff>
    </xdr:to>
    <xdr:pic>
      <xdr:nvPicPr>
        <xdr:cNvPr id="10" name="Graphic 9" descr="Questions with solid fill">
          <a:extLst>
            <a:ext uri="{FF2B5EF4-FFF2-40B4-BE49-F238E27FC236}">
              <a16:creationId xmlns:a16="http://schemas.microsoft.com/office/drawing/2014/main" id="{5A879C84-3DAA-4A7B-B4BC-C645E6B3341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24151" y="152401"/>
          <a:ext cx="638174" cy="552450"/>
        </a:xfrm>
        <a:prstGeom prst="rect">
          <a:avLst/>
        </a:prstGeom>
      </xdr:spPr>
    </xdr:pic>
    <xdr:clientData/>
  </xdr:twoCellAnchor>
  <xdr:twoCellAnchor>
    <xdr:from>
      <xdr:col>6</xdr:col>
      <xdr:colOff>76200</xdr:colOff>
      <xdr:row>0</xdr:row>
      <xdr:rowOff>38100</xdr:rowOff>
    </xdr:from>
    <xdr:to>
      <xdr:col>7</xdr:col>
      <xdr:colOff>161925</xdr:colOff>
      <xdr:row>1</xdr:row>
      <xdr:rowOff>152401</xdr:rowOff>
    </xdr:to>
    <xdr:sp macro="" textlink="$A$7">
      <xdr:nvSpPr>
        <xdr:cNvPr id="11" name="TextBox 10">
          <a:extLst>
            <a:ext uri="{FF2B5EF4-FFF2-40B4-BE49-F238E27FC236}">
              <a16:creationId xmlns:a16="http://schemas.microsoft.com/office/drawing/2014/main" id="{1579DB98-033D-44D1-BAFF-D170B4F1A53B}"/>
            </a:ext>
          </a:extLst>
        </xdr:cNvPr>
        <xdr:cNvSpPr txBox="1"/>
      </xdr:nvSpPr>
      <xdr:spPr>
        <a:xfrm>
          <a:off x="3733800" y="38100"/>
          <a:ext cx="69532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12ED09E-E73E-4330-B4DF-1BADE950B180}" type="TxLink">
            <a:rPr lang="en-US" sz="1800" b="0" i="0" u="none" strike="noStrike">
              <a:solidFill>
                <a:schemeClr val="bg1"/>
              </a:solidFill>
              <a:latin typeface="Aptos Narrow"/>
              <a:ea typeface="+mn-ea"/>
              <a:cs typeface="+mn-cs"/>
            </a:rPr>
            <a:pPr marL="0" indent="0"/>
            <a:t>23%</a:t>
          </a:fld>
          <a:endParaRPr lang="en-IN" sz="1800" b="0" i="0" u="none" strike="noStrike">
            <a:solidFill>
              <a:schemeClr val="bg1"/>
            </a:solidFill>
            <a:latin typeface="Aptos Narrow"/>
            <a:ea typeface="+mn-ea"/>
            <a:cs typeface="+mn-cs"/>
          </a:endParaRPr>
        </a:p>
      </xdr:txBody>
    </xdr:sp>
    <xdr:clientData/>
  </xdr:twoCellAnchor>
  <xdr:twoCellAnchor>
    <xdr:from>
      <xdr:col>5</xdr:col>
      <xdr:colOff>295276</xdr:colOff>
      <xdr:row>1</xdr:row>
      <xdr:rowOff>161925</xdr:rowOff>
    </xdr:from>
    <xdr:to>
      <xdr:col>7</xdr:col>
      <xdr:colOff>381000</xdr:colOff>
      <xdr:row>3</xdr:row>
      <xdr:rowOff>57150</xdr:rowOff>
    </xdr:to>
    <xdr:sp macro="" textlink="">
      <xdr:nvSpPr>
        <xdr:cNvPr id="12" name="TextBox 11">
          <a:extLst>
            <a:ext uri="{FF2B5EF4-FFF2-40B4-BE49-F238E27FC236}">
              <a16:creationId xmlns:a16="http://schemas.microsoft.com/office/drawing/2014/main" id="{BAA17BEB-A323-41C5-8239-D04D1643FA48}"/>
            </a:ext>
          </a:extLst>
        </xdr:cNvPr>
        <xdr:cNvSpPr txBox="1"/>
      </xdr:nvSpPr>
      <xdr:spPr>
        <a:xfrm>
          <a:off x="3343276" y="352425"/>
          <a:ext cx="130492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Attrition</a:t>
          </a:r>
          <a:r>
            <a:rPr lang="en-IN" sz="1400" b="1" baseline="0">
              <a:solidFill>
                <a:schemeClr val="bg1"/>
              </a:solidFill>
              <a:latin typeface="Sitka Heading" pitchFamily="2" charset="0"/>
            </a:rPr>
            <a:t> Rate</a:t>
          </a:r>
          <a:endParaRPr lang="en-IN" sz="1400" b="1">
            <a:solidFill>
              <a:schemeClr val="bg1"/>
            </a:solidFill>
            <a:latin typeface="Sitka Heading" pitchFamily="2" charset="0"/>
          </a:endParaRPr>
        </a:p>
      </xdr:txBody>
    </xdr:sp>
    <xdr:clientData/>
  </xdr:twoCellAnchor>
  <xdr:twoCellAnchor editAs="oneCell">
    <xdr:from>
      <xdr:col>7</xdr:col>
      <xdr:colOff>576262</xdr:colOff>
      <xdr:row>0</xdr:row>
      <xdr:rowOff>114300</xdr:rowOff>
    </xdr:from>
    <xdr:to>
      <xdr:col>8</xdr:col>
      <xdr:colOff>510608</xdr:colOff>
      <xdr:row>3</xdr:row>
      <xdr:rowOff>95250</xdr:rowOff>
    </xdr:to>
    <xdr:pic>
      <xdr:nvPicPr>
        <xdr:cNvPr id="13" name="Graphic 12" descr="Money with solid fill">
          <a:extLst>
            <a:ext uri="{FF2B5EF4-FFF2-40B4-BE49-F238E27FC236}">
              <a16:creationId xmlns:a16="http://schemas.microsoft.com/office/drawing/2014/main" id="{2D943E3A-015D-4314-A719-EF792D56F0A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843462" y="114300"/>
          <a:ext cx="543946" cy="552450"/>
        </a:xfrm>
        <a:prstGeom prst="rect">
          <a:avLst/>
        </a:prstGeom>
      </xdr:spPr>
    </xdr:pic>
    <xdr:clientData/>
  </xdr:twoCellAnchor>
  <xdr:twoCellAnchor>
    <xdr:from>
      <xdr:col>9</xdr:col>
      <xdr:colOff>95250</xdr:colOff>
      <xdr:row>0</xdr:row>
      <xdr:rowOff>47624</xdr:rowOff>
    </xdr:from>
    <xdr:to>
      <xdr:col>10</xdr:col>
      <xdr:colOff>582385</xdr:colOff>
      <xdr:row>1</xdr:row>
      <xdr:rowOff>161925</xdr:rowOff>
    </xdr:to>
    <xdr:sp macro="" textlink="$A$8">
      <xdr:nvSpPr>
        <xdr:cNvPr id="14" name="TextBox 13">
          <a:extLst>
            <a:ext uri="{FF2B5EF4-FFF2-40B4-BE49-F238E27FC236}">
              <a16:creationId xmlns:a16="http://schemas.microsoft.com/office/drawing/2014/main" id="{5C17A301-9742-42CF-92DD-79DC59F01413}"/>
            </a:ext>
          </a:extLst>
        </xdr:cNvPr>
        <xdr:cNvSpPr txBox="1"/>
      </xdr:nvSpPr>
      <xdr:spPr>
        <a:xfrm>
          <a:off x="5581650" y="47624"/>
          <a:ext cx="109673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4E2274-E86C-4865-BB58-7BD8E3FCA497}" type="TxLink">
            <a:rPr lang="en-US" sz="1800" b="0" i="0" u="none" strike="noStrike">
              <a:solidFill>
                <a:schemeClr val="bg1"/>
              </a:solidFill>
              <a:latin typeface="Aptos Narrow"/>
              <a:ea typeface="+mn-ea"/>
              <a:cs typeface="+mn-cs"/>
            </a:rPr>
            <a:pPr marL="0" indent="0"/>
            <a:t> ₹ 82,763 </a:t>
          </a:fld>
          <a:endParaRPr lang="en-IN" sz="1800" b="0" i="0" u="none" strike="noStrike">
            <a:solidFill>
              <a:schemeClr val="bg1"/>
            </a:solidFill>
            <a:latin typeface="Aptos Narrow"/>
            <a:ea typeface="+mn-ea"/>
            <a:cs typeface="+mn-cs"/>
          </a:endParaRPr>
        </a:p>
      </xdr:txBody>
    </xdr:sp>
    <xdr:clientData/>
  </xdr:twoCellAnchor>
  <xdr:twoCellAnchor>
    <xdr:from>
      <xdr:col>9</xdr:col>
      <xdr:colOff>180975</xdr:colOff>
      <xdr:row>1</xdr:row>
      <xdr:rowOff>142874</xdr:rowOff>
    </xdr:from>
    <xdr:to>
      <xdr:col>11</xdr:col>
      <xdr:colOff>76200</xdr:colOff>
      <xdr:row>3</xdr:row>
      <xdr:rowOff>38099</xdr:rowOff>
    </xdr:to>
    <xdr:sp macro="" textlink="">
      <xdr:nvSpPr>
        <xdr:cNvPr id="15" name="TextBox 14">
          <a:extLst>
            <a:ext uri="{FF2B5EF4-FFF2-40B4-BE49-F238E27FC236}">
              <a16:creationId xmlns:a16="http://schemas.microsoft.com/office/drawing/2014/main" id="{2377D4FA-9CC3-415F-A7E9-74C9879E71AE}"/>
            </a:ext>
          </a:extLst>
        </xdr:cNvPr>
        <xdr:cNvSpPr txBox="1"/>
      </xdr:nvSpPr>
      <xdr:spPr>
        <a:xfrm>
          <a:off x="5667375" y="333374"/>
          <a:ext cx="11144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Avg</a:t>
          </a:r>
          <a:r>
            <a:rPr lang="en-IN" sz="1400" b="1" baseline="0">
              <a:solidFill>
                <a:schemeClr val="bg1"/>
              </a:solidFill>
              <a:latin typeface="Sitka Heading" pitchFamily="2" charset="0"/>
            </a:rPr>
            <a:t> Salary</a:t>
          </a:r>
          <a:endParaRPr lang="en-IN" sz="1400" b="1">
            <a:solidFill>
              <a:schemeClr val="bg1"/>
            </a:solidFill>
            <a:latin typeface="Sitka Heading" pitchFamily="2" charset="0"/>
          </a:endParaRPr>
        </a:p>
      </xdr:txBody>
    </xdr:sp>
    <xdr:clientData/>
  </xdr:twoCellAnchor>
  <xdr:twoCellAnchor editAs="oneCell">
    <xdr:from>
      <xdr:col>11</xdr:col>
      <xdr:colOff>288130</xdr:colOff>
      <xdr:row>0</xdr:row>
      <xdr:rowOff>161925</xdr:rowOff>
    </xdr:from>
    <xdr:to>
      <xdr:col>12</xdr:col>
      <xdr:colOff>233199</xdr:colOff>
      <xdr:row>3</xdr:row>
      <xdr:rowOff>142875</xdr:rowOff>
    </xdr:to>
    <xdr:pic>
      <xdr:nvPicPr>
        <xdr:cNvPr id="16" name="Graphic 15" descr="Business Growth with solid fill">
          <a:extLst>
            <a:ext uri="{FF2B5EF4-FFF2-40B4-BE49-F238E27FC236}">
              <a16:creationId xmlns:a16="http://schemas.microsoft.com/office/drawing/2014/main" id="{DAF78DF5-F55C-4FCB-9B34-D67781162B8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6993730" y="161925"/>
          <a:ext cx="554669" cy="552450"/>
        </a:xfrm>
        <a:prstGeom prst="rect">
          <a:avLst/>
        </a:prstGeom>
      </xdr:spPr>
    </xdr:pic>
    <xdr:clientData/>
  </xdr:twoCellAnchor>
  <xdr:twoCellAnchor>
    <xdr:from>
      <xdr:col>13</xdr:col>
      <xdr:colOff>0</xdr:colOff>
      <xdr:row>0</xdr:row>
      <xdr:rowOff>38099</xdr:rowOff>
    </xdr:from>
    <xdr:to>
      <xdr:col>14</xdr:col>
      <xdr:colOff>88517</xdr:colOff>
      <xdr:row>1</xdr:row>
      <xdr:rowOff>152400</xdr:rowOff>
    </xdr:to>
    <xdr:sp macro="" textlink="$A$9">
      <xdr:nvSpPr>
        <xdr:cNvPr id="17" name="TextBox 16">
          <a:extLst>
            <a:ext uri="{FF2B5EF4-FFF2-40B4-BE49-F238E27FC236}">
              <a16:creationId xmlns:a16="http://schemas.microsoft.com/office/drawing/2014/main" id="{75E2921B-75DA-4095-B421-84880D8878AA}"/>
            </a:ext>
          </a:extLst>
        </xdr:cNvPr>
        <xdr:cNvSpPr txBox="1"/>
      </xdr:nvSpPr>
      <xdr:spPr>
        <a:xfrm>
          <a:off x="7924800" y="38099"/>
          <a:ext cx="698117"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E448AB-FCB2-4921-87D5-48AE25063AE0}" type="TxLink">
            <a:rPr lang="en-US" sz="1800" b="0" i="0" u="none" strike="noStrike">
              <a:solidFill>
                <a:schemeClr val="bg1"/>
              </a:solidFill>
              <a:latin typeface="Aptos Narrow"/>
              <a:ea typeface="+mn-ea"/>
              <a:cs typeface="+mn-cs"/>
            </a:rPr>
            <a:pPr marL="0" indent="0"/>
            <a:t>3.99</a:t>
          </a:fld>
          <a:endParaRPr lang="en-IN" sz="1800" b="0" i="0" u="none" strike="noStrike">
            <a:solidFill>
              <a:schemeClr val="bg1"/>
            </a:solidFill>
            <a:latin typeface="Aptos Narrow"/>
            <a:ea typeface="+mn-ea"/>
            <a:cs typeface="+mn-cs"/>
          </a:endParaRPr>
        </a:p>
      </xdr:txBody>
    </xdr:sp>
    <xdr:clientData/>
  </xdr:twoCellAnchor>
  <xdr:twoCellAnchor>
    <xdr:from>
      <xdr:col>12</xdr:col>
      <xdr:colOff>266700</xdr:colOff>
      <xdr:row>1</xdr:row>
      <xdr:rowOff>161924</xdr:rowOff>
    </xdr:from>
    <xdr:to>
      <xdr:col>15</xdr:col>
      <xdr:colOff>15836</xdr:colOff>
      <xdr:row>3</xdr:row>
      <xdr:rowOff>57149</xdr:rowOff>
    </xdr:to>
    <xdr:sp macro="" textlink="">
      <xdr:nvSpPr>
        <xdr:cNvPr id="18" name="TextBox 17">
          <a:extLst>
            <a:ext uri="{FF2B5EF4-FFF2-40B4-BE49-F238E27FC236}">
              <a16:creationId xmlns:a16="http://schemas.microsoft.com/office/drawing/2014/main" id="{90F009B8-4C57-4EF9-BE5C-3ACCAB5B2AD8}"/>
            </a:ext>
          </a:extLst>
        </xdr:cNvPr>
        <xdr:cNvSpPr txBox="1"/>
      </xdr:nvSpPr>
      <xdr:spPr>
        <a:xfrm>
          <a:off x="7581900" y="352424"/>
          <a:ext cx="157793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Avg</a:t>
          </a:r>
          <a:r>
            <a:rPr lang="en-IN" sz="1400" b="1" baseline="0">
              <a:solidFill>
                <a:schemeClr val="bg1"/>
              </a:solidFill>
              <a:latin typeface="Sitka Heading" pitchFamily="2" charset="0"/>
            </a:rPr>
            <a:t> Performance</a:t>
          </a:r>
          <a:endParaRPr lang="en-IN" sz="1400" b="1">
            <a:solidFill>
              <a:schemeClr val="bg1"/>
            </a:solidFill>
            <a:latin typeface="Sitka Heading" pitchFamily="2" charset="0"/>
          </a:endParaRPr>
        </a:p>
      </xdr:txBody>
    </xdr:sp>
    <xdr:clientData/>
  </xdr:twoCellAnchor>
  <xdr:twoCellAnchor editAs="oneCell">
    <xdr:from>
      <xdr:col>15</xdr:col>
      <xdr:colOff>230981</xdr:colOff>
      <xdr:row>0</xdr:row>
      <xdr:rowOff>161925</xdr:rowOff>
    </xdr:from>
    <xdr:to>
      <xdr:col>16</xdr:col>
      <xdr:colOff>173831</xdr:colOff>
      <xdr:row>3</xdr:row>
      <xdr:rowOff>142875</xdr:rowOff>
    </xdr:to>
    <xdr:pic>
      <xdr:nvPicPr>
        <xdr:cNvPr id="19" name="Graphic 18" descr="Man and woman with solid fill">
          <a:extLst>
            <a:ext uri="{FF2B5EF4-FFF2-40B4-BE49-F238E27FC236}">
              <a16:creationId xmlns:a16="http://schemas.microsoft.com/office/drawing/2014/main" id="{5886EE5A-FCAF-4365-90B2-355C4DA5BA4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9374981" y="161925"/>
          <a:ext cx="552450" cy="552450"/>
        </a:xfrm>
        <a:prstGeom prst="rect">
          <a:avLst/>
        </a:prstGeom>
      </xdr:spPr>
    </xdr:pic>
    <xdr:clientData/>
  </xdr:twoCellAnchor>
  <xdr:twoCellAnchor>
    <xdr:from>
      <xdr:col>16</xdr:col>
      <xdr:colOff>419100</xdr:colOff>
      <xdr:row>0</xdr:row>
      <xdr:rowOff>57149</xdr:rowOff>
    </xdr:from>
    <xdr:to>
      <xdr:col>18</xdr:col>
      <xdr:colOff>76200</xdr:colOff>
      <xdr:row>1</xdr:row>
      <xdr:rowOff>171450</xdr:rowOff>
    </xdr:to>
    <xdr:sp macro="" textlink="$A$10">
      <xdr:nvSpPr>
        <xdr:cNvPr id="20" name="TextBox 19">
          <a:extLst>
            <a:ext uri="{FF2B5EF4-FFF2-40B4-BE49-F238E27FC236}">
              <a16:creationId xmlns:a16="http://schemas.microsoft.com/office/drawing/2014/main" id="{430EB969-3D0B-412D-B0EC-F9591F861151}"/>
            </a:ext>
          </a:extLst>
        </xdr:cNvPr>
        <xdr:cNvSpPr txBox="1"/>
      </xdr:nvSpPr>
      <xdr:spPr>
        <a:xfrm>
          <a:off x="10172700" y="57149"/>
          <a:ext cx="876300"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3EA4933-00F9-4637-A6B5-E572540FEDC1}" type="TxLink">
            <a:rPr lang="en-US" sz="1800" b="0" i="0" u="none" strike="noStrike">
              <a:solidFill>
                <a:schemeClr val="bg1"/>
              </a:solidFill>
              <a:latin typeface="Aptos Narrow"/>
              <a:ea typeface="+mn-ea"/>
              <a:cs typeface="+mn-cs"/>
            </a:rPr>
            <a:pPr marL="0" indent="0"/>
            <a:t>100%</a:t>
          </a:fld>
          <a:endParaRPr lang="en-IN" sz="1800" b="0" i="0" u="none" strike="noStrike">
            <a:solidFill>
              <a:schemeClr val="bg1"/>
            </a:solidFill>
            <a:latin typeface="Aptos Narrow"/>
            <a:ea typeface="+mn-ea"/>
            <a:cs typeface="+mn-cs"/>
          </a:endParaRPr>
        </a:p>
      </xdr:txBody>
    </xdr:sp>
    <xdr:clientData/>
  </xdr:twoCellAnchor>
  <xdr:twoCellAnchor>
    <xdr:from>
      <xdr:col>16</xdr:col>
      <xdr:colOff>257175</xdr:colOff>
      <xdr:row>1</xdr:row>
      <xdr:rowOff>152399</xdr:rowOff>
    </xdr:from>
    <xdr:to>
      <xdr:col>18</xdr:col>
      <xdr:colOff>190501</xdr:colOff>
      <xdr:row>3</xdr:row>
      <xdr:rowOff>47624</xdr:rowOff>
    </xdr:to>
    <xdr:sp macro="" textlink="">
      <xdr:nvSpPr>
        <xdr:cNvPr id="21" name="TextBox 20">
          <a:extLst>
            <a:ext uri="{FF2B5EF4-FFF2-40B4-BE49-F238E27FC236}">
              <a16:creationId xmlns:a16="http://schemas.microsoft.com/office/drawing/2014/main" id="{B311F16C-9F16-4BEC-B9EA-30EC76B4DDF0}"/>
            </a:ext>
          </a:extLst>
        </xdr:cNvPr>
        <xdr:cNvSpPr txBox="1"/>
      </xdr:nvSpPr>
      <xdr:spPr>
        <a:xfrm>
          <a:off x="10010775" y="342899"/>
          <a:ext cx="115252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itka Heading" pitchFamily="2" charset="0"/>
            </a:rPr>
            <a:t>Diversity</a:t>
          </a:r>
          <a:r>
            <a:rPr lang="en-IN" sz="1400" b="1" baseline="0">
              <a:solidFill>
                <a:schemeClr val="bg1"/>
              </a:solidFill>
              <a:latin typeface="Sitka Heading" pitchFamily="2" charset="0"/>
            </a:rPr>
            <a:t> %</a:t>
          </a:r>
          <a:endParaRPr lang="en-IN" sz="1400" b="1">
            <a:solidFill>
              <a:schemeClr val="bg1"/>
            </a:solidFill>
            <a:latin typeface="Sitka Heading" pitchFamily="2" charset="0"/>
          </a:endParaRPr>
        </a:p>
      </xdr:txBody>
    </xdr:sp>
    <xdr:clientData/>
  </xdr:twoCellAnchor>
  <xdr:twoCellAnchor editAs="oneCell">
    <xdr:from>
      <xdr:col>18</xdr:col>
      <xdr:colOff>381000</xdr:colOff>
      <xdr:row>0</xdr:row>
      <xdr:rowOff>47626</xdr:rowOff>
    </xdr:from>
    <xdr:to>
      <xdr:col>21</xdr:col>
      <xdr:colOff>408226</xdr:colOff>
      <xdr:row>3</xdr:row>
      <xdr:rowOff>124126</xdr:rowOff>
    </xdr:to>
    <mc:AlternateContent xmlns:mc="http://schemas.openxmlformats.org/markup-compatibility/2006" xmlns:a14="http://schemas.microsoft.com/office/drawing/2010/main">
      <mc:Choice Requires="a14">
        <xdr:graphicFrame macro="">
          <xdr:nvGraphicFramePr>
            <xdr:cNvPr id="22" name="Gender 5">
              <a:extLst>
                <a:ext uri="{FF2B5EF4-FFF2-40B4-BE49-F238E27FC236}">
                  <a16:creationId xmlns:a16="http://schemas.microsoft.com/office/drawing/2014/main" id="{06541A2A-DD90-4BE6-85BC-639E645B4442}"/>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11353800" y="47626"/>
              <a:ext cx="1856026"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18</xdr:row>
      <xdr:rowOff>47625</xdr:rowOff>
    </xdr:from>
    <xdr:to>
      <xdr:col>21</xdr:col>
      <xdr:colOff>415650</xdr:colOff>
      <xdr:row>29</xdr:row>
      <xdr:rowOff>142875</xdr:rowOff>
    </xdr:to>
    <mc:AlternateContent xmlns:mc="http://schemas.openxmlformats.org/markup-compatibility/2006" xmlns:a14="http://schemas.microsoft.com/office/drawing/2010/main">
      <mc:Choice Requires="a14">
        <xdr:graphicFrame macro="">
          <xdr:nvGraphicFramePr>
            <xdr:cNvPr id="23" name="Department 5">
              <a:extLst>
                <a:ext uri="{FF2B5EF4-FFF2-40B4-BE49-F238E27FC236}">
                  <a16:creationId xmlns:a16="http://schemas.microsoft.com/office/drawing/2014/main" id="{7D8E8068-5F4C-40AC-9104-06A12A356BEA}"/>
                </a:ext>
              </a:extLst>
            </xdr:cNvPr>
            <xdr:cNvGraphicFramePr/>
          </xdr:nvGraphicFramePr>
          <xdr:xfrm>
            <a:off x="0" y="0"/>
            <a:ext cx="0" cy="0"/>
          </xdr:xfrm>
          <a:graphic>
            <a:graphicData uri="http://schemas.microsoft.com/office/drawing/2010/slicer">
              <sle:slicer xmlns:sle="http://schemas.microsoft.com/office/drawing/2010/slicer" name="Department 5"/>
            </a:graphicData>
          </a:graphic>
        </xdr:graphicFrame>
      </mc:Choice>
      <mc:Fallback xmlns="">
        <xdr:sp macro="" textlink="">
          <xdr:nvSpPr>
            <xdr:cNvPr id="0" name=""/>
            <xdr:cNvSpPr>
              <a:spLocks noTextEdit="1"/>
            </xdr:cNvSpPr>
          </xdr:nvSpPr>
          <xdr:spPr>
            <a:xfrm>
              <a:off x="11353800" y="3276600"/>
              <a:ext cx="1863450" cy="1990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3</xdr:row>
      <xdr:rowOff>152400</xdr:rowOff>
    </xdr:from>
    <xdr:to>
      <xdr:col>21</xdr:col>
      <xdr:colOff>408226</xdr:colOff>
      <xdr:row>7</xdr:row>
      <xdr:rowOff>2400</xdr:rowOff>
    </xdr:to>
    <mc:AlternateContent xmlns:mc="http://schemas.openxmlformats.org/markup-compatibility/2006" xmlns:a14="http://schemas.microsoft.com/office/drawing/2010/main">
      <mc:Choice Requires="a14">
        <xdr:graphicFrame macro="">
          <xdr:nvGraphicFramePr>
            <xdr:cNvPr id="24" name="Attrition 5">
              <a:extLst>
                <a:ext uri="{FF2B5EF4-FFF2-40B4-BE49-F238E27FC236}">
                  <a16:creationId xmlns:a16="http://schemas.microsoft.com/office/drawing/2014/main" id="{8AD977D7-735A-4641-8420-70B0BDD27D4F}"/>
                </a:ext>
              </a:extLst>
            </xdr:cNvPr>
            <xdr:cNvGraphicFramePr/>
          </xdr:nvGraphicFramePr>
          <xdr:xfrm>
            <a:off x="0" y="0"/>
            <a:ext cx="0" cy="0"/>
          </xdr:xfrm>
          <a:graphic>
            <a:graphicData uri="http://schemas.microsoft.com/office/drawing/2010/slicer">
              <sle:slicer xmlns:sle="http://schemas.microsoft.com/office/drawing/2010/slicer" name="Attrition 5"/>
            </a:graphicData>
          </a:graphic>
        </xdr:graphicFrame>
      </mc:Choice>
      <mc:Fallback xmlns="">
        <xdr:sp macro="" textlink="">
          <xdr:nvSpPr>
            <xdr:cNvPr id="0" name=""/>
            <xdr:cNvSpPr>
              <a:spLocks noTextEdit="1"/>
            </xdr:cNvSpPr>
          </xdr:nvSpPr>
          <xdr:spPr>
            <a:xfrm>
              <a:off x="11353800" y="723900"/>
              <a:ext cx="1856026"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7</xdr:row>
      <xdr:rowOff>28575</xdr:rowOff>
    </xdr:from>
    <xdr:to>
      <xdr:col>21</xdr:col>
      <xdr:colOff>415650</xdr:colOff>
      <xdr:row>17</xdr:row>
      <xdr:rowOff>9524</xdr:rowOff>
    </xdr:to>
    <mc:AlternateContent xmlns:mc="http://schemas.openxmlformats.org/markup-compatibility/2006" xmlns:a14="http://schemas.microsoft.com/office/drawing/2010/main">
      <mc:Choice Requires="a14">
        <xdr:graphicFrame macro="">
          <xdr:nvGraphicFramePr>
            <xdr:cNvPr id="25" name="WorkLocation 5">
              <a:extLst>
                <a:ext uri="{FF2B5EF4-FFF2-40B4-BE49-F238E27FC236}">
                  <a16:creationId xmlns:a16="http://schemas.microsoft.com/office/drawing/2014/main" id="{F7966A92-2FCC-4B0B-9489-FDC3F93A2BF1}"/>
                </a:ext>
              </a:extLst>
            </xdr:cNvPr>
            <xdr:cNvGraphicFramePr/>
          </xdr:nvGraphicFramePr>
          <xdr:xfrm>
            <a:off x="0" y="0"/>
            <a:ext cx="0" cy="0"/>
          </xdr:xfrm>
          <a:graphic>
            <a:graphicData uri="http://schemas.microsoft.com/office/drawing/2010/slicer">
              <sle:slicer xmlns:sle="http://schemas.microsoft.com/office/drawing/2010/slicer" name="WorkLocation 5"/>
            </a:graphicData>
          </a:graphic>
        </xdr:graphicFrame>
      </mc:Choice>
      <mc:Fallback xmlns="">
        <xdr:sp macro="" textlink="">
          <xdr:nvSpPr>
            <xdr:cNvPr id="0" name=""/>
            <xdr:cNvSpPr>
              <a:spLocks noTextEdit="1"/>
            </xdr:cNvSpPr>
          </xdr:nvSpPr>
          <xdr:spPr>
            <a:xfrm>
              <a:off x="11353800" y="1362075"/>
              <a:ext cx="1863450" cy="1885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76201</xdr:colOff>
      <xdr:row>4</xdr:row>
      <xdr:rowOff>104775</xdr:rowOff>
    </xdr:from>
    <xdr:to>
      <xdr:col>6</xdr:col>
      <xdr:colOff>514351</xdr:colOff>
      <xdr:row>18</xdr:row>
      <xdr:rowOff>9525</xdr:rowOff>
    </xdr:to>
    <xdr:graphicFrame macro="">
      <xdr:nvGraphicFramePr>
        <xdr:cNvPr id="27" name="Chart 26">
          <a:extLst>
            <a:ext uri="{FF2B5EF4-FFF2-40B4-BE49-F238E27FC236}">
              <a16:creationId xmlns:a16="http://schemas.microsoft.com/office/drawing/2014/main" id="{C0EE34FB-99E9-43D7-8B36-399F46170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571500</xdr:colOff>
      <xdr:row>4</xdr:row>
      <xdr:rowOff>114301</xdr:rowOff>
    </xdr:from>
    <xdr:to>
      <xdr:col>13</xdr:col>
      <xdr:colOff>76200</xdr:colOff>
      <xdr:row>29</xdr:row>
      <xdr:rowOff>152400</xdr:rowOff>
    </xdr:to>
    <xdr:graphicFrame macro="">
      <xdr:nvGraphicFramePr>
        <xdr:cNvPr id="28" name="Chart 27">
          <a:extLst>
            <a:ext uri="{FF2B5EF4-FFF2-40B4-BE49-F238E27FC236}">
              <a16:creationId xmlns:a16="http://schemas.microsoft.com/office/drawing/2014/main" id="{CBBAF688-EBA3-4A9D-9181-F7539AEEA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123825</xdr:colOff>
      <xdr:row>4</xdr:row>
      <xdr:rowOff>114300</xdr:rowOff>
    </xdr:from>
    <xdr:to>
      <xdr:col>18</xdr:col>
      <xdr:colOff>323850</xdr:colOff>
      <xdr:row>29</xdr:row>
      <xdr:rowOff>142875</xdr:rowOff>
    </xdr:to>
    <xdr:graphicFrame macro="">
      <xdr:nvGraphicFramePr>
        <xdr:cNvPr id="30" name="Chart 29">
          <a:extLst>
            <a:ext uri="{FF2B5EF4-FFF2-40B4-BE49-F238E27FC236}">
              <a16:creationId xmlns:a16="http://schemas.microsoft.com/office/drawing/2014/main" id="{9B14102B-90C4-4418-9262-C6EB27F0F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76200</xdr:colOff>
      <xdr:row>18</xdr:row>
      <xdr:rowOff>76200</xdr:rowOff>
    </xdr:from>
    <xdr:to>
      <xdr:col>6</xdr:col>
      <xdr:colOff>495300</xdr:colOff>
      <xdr:row>29</xdr:row>
      <xdr:rowOff>142875</xdr:rowOff>
    </xdr:to>
    <xdr:graphicFrame macro="">
      <xdr:nvGraphicFramePr>
        <xdr:cNvPr id="31" name="Chart 30">
          <a:extLst>
            <a:ext uri="{FF2B5EF4-FFF2-40B4-BE49-F238E27FC236}">
              <a16:creationId xmlns:a16="http://schemas.microsoft.com/office/drawing/2014/main" id="{0272BF06-E186-41FB-BE93-187218946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19050</xdr:colOff>
      <xdr:row>0</xdr:row>
      <xdr:rowOff>161925</xdr:rowOff>
    </xdr:from>
    <xdr:to>
      <xdr:col>0</xdr:col>
      <xdr:colOff>495300</xdr:colOff>
      <xdr:row>3</xdr:row>
      <xdr:rowOff>123825</xdr:rowOff>
    </xdr:to>
    <xdr:sp macro="" textlink="">
      <xdr:nvSpPr>
        <xdr:cNvPr id="29" name="Arrow: Left 28">
          <a:extLst>
            <a:ext uri="{FF2B5EF4-FFF2-40B4-BE49-F238E27FC236}">
              <a16:creationId xmlns:a16="http://schemas.microsoft.com/office/drawing/2014/main" id="{37CB2CD1-E037-4BB4-A103-800B6A919D57}"/>
            </a:ext>
          </a:extLst>
        </xdr:cNvPr>
        <xdr:cNvSpPr/>
      </xdr:nvSpPr>
      <xdr:spPr>
        <a:xfrm>
          <a:off x="19050" y="161925"/>
          <a:ext cx="476250" cy="533400"/>
        </a:xfrm>
        <a:prstGeom prst="leftArrow">
          <a:avLst/>
        </a:prstGeom>
        <a:solidFill>
          <a:schemeClr val="bg1">
            <a:lumMod val="6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47625</xdr:colOff>
      <xdr:row>1</xdr:row>
      <xdr:rowOff>123825</xdr:rowOff>
    </xdr:from>
    <xdr:to>
      <xdr:col>0</xdr:col>
      <xdr:colOff>514350</xdr:colOff>
      <xdr:row>3</xdr:row>
      <xdr:rowOff>47625</xdr:rowOff>
    </xdr:to>
    <xdr:sp macro="" textlink="">
      <xdr:nvSpPr>
        <xdr:cNvPr id="32" name="TextBox 31">
          <a:hlinkClick xmlns:r="http://schemas.openxmlformats.org/officeDocument/2006/relationships" r:id="rId15"/>
          <a:extLst>
            <a:ext uri="{FF2B5EF4-FFF2-40B4-BE49-F238E27FC236}">
              <a16:creationId xmlns:a16="http://schemas.microsoft.com/office/drawing/2014/main" id="{10192FF7-A833-42AA-B18D-C2C243A4F43C}"/>
            </a:ext>
          </a:extLst>
        </xdr:cNvPr>
        <xdr:cNvSpPr txBox="1"/>
      </xdr:nvSpPr>
      <xdr:spPr>
        <a:xfrm>
          <a:off x="47625" y="314325"/>
          <a:ext cx="4667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lumMod val="95000"/>
                </a:schemeClr>
              </a:solidFill>
            </a:rPr>
            <a:t>Back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refreshedDate="46034.511805439812" createdVersion="8" refreshedVersion="8" minRefreshableVersion="3" recordCount="300" xr:uid="{A28BB721-0C3E-4B9F-9FB1-7AF0EBE8B7B4}">
  <cacheSource type="worksheet">
    <worksheetSource name="Table1"/>
  </cacheSource>
  <cacheFields count="14">
    <cacheField name="EmployeeID" numFmtId="0">
      <sharedItems count="300">
        <s v="E001"/>
        <s v="E002"/>
        <s v="E003"/>
        <s v="E004"/>
        <s v="E005"/>
        <s v="E006"/>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s v="E051"/>
        <s v="E052"/>
        <s v="E053"/>
        <s v="E054"/>
        <s v="E055"/>
        <s v="E056"/>
        <s v="E057"/>
        <s v="E058"/>
        <s v="E059"/>
        <s v="E060"/>
        <s v="E061"/>
        <s v="E062"/>
        <s v="E063"/>
        <s v="E064"/>
        <s v="E065"/>
        <s v="E066"/>
        <s v="E067"/>
        <s v="E068"/>
        <s v="E069"/>
        <s v="E070"/>
        <s v="E071"/>
        <s v="E072"/>
        <s v="E073"/>
        <s v="E074"/>
        <s v="E075"/>
        <s v="E076"/>
        <s v="E077"/>
        <s v="E078"/>
        <s v="E079"/>
        <s v="E080"/>
        <s v="E081"/>
        <s v="E082"/>
        <s v="E083"/>
        <s v="E084"/>
        <s v="E085"/>
        <s v="E086"/>
        <s v="E087"/>
        <s v="E088"/>
        <s v="E089"/>
        <s v="E090"/>
        <s v="E091"/>
        <s v="E092"/>
        <s v="E093"/>
        <s v="E094"/>
        <s v="E095"/>
        <s v="E096"/>
        <s v="E097"/>
        <s v="E098"/>
        <s v="E099"/>
        <s v="E100"/>
        <s v="E101"/>
        <s v="E102"/>
        <s v="E103"/>
        <s v="E104"/>
        <s v="E105"/>
        <s v="E106"/>
        <s v="E107"/>
        <s v="E108"/>
        <s v="E109"/>
        <s v="E110"/>
        <s v="E111"/>
        <s v="E112"/>
        <s v="E113"/>
        <s v="E114"/>
        <s v="E115"/>
        <s v="E116"/>
        <s v="E117"/>
        <s v="E118"/>
        <s v="E119"/>
        <s v="E120"/>
        <s v="E121"/>
        <s v="E122"/>
        <s v="E123"/>
        <s v="E124"/>
        <s v="E125"/>
        <s v="E126"/>
        <s v="E127"/>
        <s v="E128"/>
        <s v="E129"/>
        <s v="E130"/>
        <s v="E131"/>
        <s v="E132"/>
        <s v="E133"/>
        <s v="E134"/>
        <s v="E135"/>
        <s v="E136"/>
        <s v="E137"/>
        <s v="E138"/>
        <s v="E139"/>
        <s v="E140"/>
        <s v="E141"/>
        <s v="E142"/>
        <s v="E143"/>
        <s v="E144"/>
        <s v="E145"/>
        <s v="E146"/>
        <s v="E147"/>
        <s v="E148"/>
        <s v="E149"/>
        <s v="E150"/>
        <s v="E151"/>
        <s v="E152"/>
        <s v="E153"/>
        <s v="E154"/>
        <s v="E155"/>
        <s v="E156"/>
        <s v="E157"/>
        <s v="E158"/>
        <s v="E159"/>
        <s v="E160"/>
        <s v="E161"/>
        <s v="E162"/>
        <s v="E163"/>
        <s v="E164"/>
        <s v="E165"/>
        <s v="E166"/>
        <s v="E167"/>
        <s v="E168"/>
        <s v="E169"/>
        <s v="E170"/>
        <s v="E171"/>
        <s v="E172"/>
        <s v="E173"/>
        <s v="E174"/>
        <s v="E175"/>
        <s v="E176"/>
        <s v="E177"/>
        <s v="E178"/>
        <s v="E179"/>
        <s v="E180"/>
        <s v="E181"/>
        <s v="E182"/>
        <s v="E183"/>
        <s v="E184"/>
        <s v="E185"/>
        <s v="E186"/>
        <s v="E187"/>
        <s v="E188"/>
        <s v="E189"/>
        <s v="E190"/>
        <s v="E191"/>
        <s v="E192"/>
        <s v="E193"/>
        <s v="E194"/>
        <s v="E195"/>
        <s v="E196"/>
        <s v="E197"/>
        <s v="E198"/>
        <s v="E199"/>
        <s v="E200"/>
        <s v="E201"/>
        <s v="E202"/>
        <s v="E203"/>
        <s v="E204"/>
        <s v="E205"/>
        <s v="E206"/>
        <s v="E207"/>
        <s v="E208"/>
        <s v="E209"/>
        <s v="E210"/>
        <s v="E211"/>
        <s v="E212"/>
        <s v="E213"/>
        <s v="E214"/>
        <s v="E215"/>
        <s v="E216"/>
        <s v="E217"/>
        <s v="E218"/>
        <s v="E219"/>
        <s v="E220"/>
        <s v="E221"/>
        <s v="E222"/>
        <s v="E223"/>
        <s v="E224"/>
        <s v="E225"/>
        <s v="E226"/>
        <s v="E227"/>
        <s v="E228"/>
        <s v="E229"/>
        <s v="E230"/>
        <s v="E231"/>
        <s v="E232"/>
        <s v="E233"/>
        <s v="E234"/>
        <s v="E235"/>
        <s v="E236"/>
        <s v="E237"/>
        <s v="E238"/>
        <s v="E239"/>
        <s v="E240"/>
        <s v="E241"/>
        <s v="E242"/>
        <s v="E243"/>
        <s v="E244"/>
        <s v="E245"/>
        <s v="E246"/>
        <s v="E247"/>
        <s v="E248"/>
        <s v="E249"/>
        <s v="E250"/>
        <s v="E251"/>
        <s v="E252"/>
        <s v="E253"/>
        <s v="E254"/>
        <s v="E255"/>
        <s v="E256"/>
        <s v="E257"/>
        <s v="E258"/>
        <s v="E259"/>
        <s v="E260"/>
        <s v="E261"/>
        <s v="E262"/>
        <s v="E263"/>
        <s v="E264"/>
        <s v="E265"/>
        <s v="E266"/>
        <s v="E267"/>
        <s v="E268"/>
        <s v="E269"/>
        <s v="E270"/>
        <s v="E271"/>
        <s v="E272"/>
        <s v="E273"/>
        <s v="E274"/>
        <s v="E275"/>
        <s v="E276"/>
        <s v="E277"/>
        <s v="E278"/>
        <s v="E279"/>
        <s v="E280"/>
        <s v="E281"/>
        <s v="E282"/>
        <s v="E283"/>
        <s v="E284"/>
        <s v="E285"/>
        <s v="E286"/>
        <s v="E287"/>
        <s v="E288"/>
        <s v="E289"/>
        <s v="E290"/>
        <s v="E291"/>
        <s v="E292"/>
        <s v="E293"/>
        <s v="E294"/>
        <s v="E295"/>
        <s v="E296"/>
        <s v="E297"/>
        <s v="E298"/>
        <s v="E299"/>
        <s v="E300"/>
      </sharedItems>
    </cacheField>
    <cacheField name="EmployeeName" numFmtId="0">
      <sharedItems count="232">
        <s v="Aarav"/>
        <s v="Diya"/>
        <s v="Rohan"/>
        <s v="Ananya"/>
        <s v="Karthik"/>
        <s v="Priya"/>
        <s v="Vikram"/>
        <s v="Neha"/>
        <s v="Arjun"/>
        <s v="Sneha"/>
        <s v="Rahul"/>
        <s v="Pooja"/>
        <s v="Manish"/>
        <s v="Aditi"/>
        <s v="Suresh"/>
        <s v="Kavya"/>
        <s v="Amit"/>
        <s v="Nisha"/>
        <s v="Ravi"/>
        <s v="Meera"/>
        <s v="Deepak"/>
        <s v="Swathi"/>
        <s v="Ajay"/>
        <s v="Rekha"/>
        <s v="Naveen"/>
        <s v="Divya"/>
        <s v="Sanjay"/>
        <s v="Anjali"/>
        <s v="Mukesh"/>
        <s v="Shalini"/>
        <s v="Ritesh"/>
        <s v="Monika"/>
        <s v="Prakash"/>
        <s v="Simran"/>
        <s v="Harish"/>
        <s v="Sunita"/>
        <s v="Rajesh"/>
        <s v="Preeti"/>
        <s v="Kunal"/>
        <s v="Lakshmi"/>
        <s v="Vivek"/>
        <s v="Pallavi"/>
        <s v="Surya"/>
        <s v="Isha"/>
        <s v="Ganesh"/>
        <s v="Rina"/>
        <s v="Akash"/>
        <s v="Sowmya"/>
        <s v="Imran"/>
        <s v="Keerthi"/>
        <s v="Varun"/>
        <s v="Ankita"/>
        <s v="Ramesh"/>
        <s v="Pavithra"/>
        <s v="Siddharth"/>
        <s v="Deepa"/>
        <s v="Nitin"/>
        <s v="Reshma"/>
        <s v="Alok"/>
        <s v="Saranya"/>
        <s v="Rohit"/>
        <s v="Shreya"/>
        <s v="Mahesh"/>
        <s v="Anu"/>
        <s v="Kishore"/>
        <s v="Poonam"/>
        <s v="Pradeep"/>
        <s v="Meghana"/>
        <s v="Arvind"/>
        <s v="Farah"/>
        <s v="Raj"/>
        <s v="Kiran"/>
        <s v="Abhishek"/>
        <s v="Nandini"/>
        <s v="Shyam"/>
        <s v="Prianka"/>
        <s v="Sameer"/>
        <s v="Sweta"/>
        <s v="Manoj"/>
        <s v="Latha"/>
        <s v="Yogesh"/>
        <s v="Ritu"/>
        <s v="Arun"/>
        <s v="Payal"/>
        <s v="Satish"/>
        <s v="Neelam"/>
        <s v="Faizal"/>
        <s v="Tanya"/>
        <s v="Ayesha"/>
        <s v="Vishal"/>
        <s v="Reena"/>
        <s v="Raghav"/>
        <s v="Shobha"/>
        <s v="Ankit"/>
        <s v="Dinesh"/>
        <s v="Kritika"/>
        <s v="Naresh"/>
        <s v="Sonal"/>
        <s v="Rajiv"/>
        <s v="Sonia"/>
        <s v="Krishna"/>
        <s v="Madhu"/>
        <s v="Arif"/>
        <s v="Sangeetha"/>
        <s v="Vimal"/>
        <s v="Nirmala"/>
        <s v="Suraj"/>
        <s v="Pavani"/>
        <s v="Anusha"/>
        <s v="Joseph"/>
        <s v="Rupa"/>
        <s v="Sridhar"/>
        <s v="Deepthi"/>
        <s v="Harini"/>
        <s v="Vinod"/>
        <s v="Mehul"/>
        <s v="Rakesh"/>
        <s v="Anita"/>
        <s v="Sachin"/>
        <s v="Farzana"/>
        <s v="Venkatesh"/>
        <s v="Neethu"/>
        <s v="Sunil"/>
        <s v="Aparna"/>
        <s v="Pranav"/>
        <s v="Sharmila"/>
        <s v="Anil"/>
        <s v="Sanjana"/>
        <s v="Ritika"/>
        <s v="Santosh"/>
        <s v="Ajith"/>
        <s v="Rashmi"/>
        <s v="Harsha"/>
        <s v="Nikita"/>
        <s v="Dev"/>
        <s v="Mohit"/>
        <s v="Seema"/>
        <s v="Tamanna"/>
        <s v="Gopal"/>
        <s v="Kavitha"/>
        <s v="Tejas"/>
        <s v="Rupal"/>
        <s v="Balaji"/>
        <s v="Kalyani"/>
        <s v="Faheem"/>
        <s v="Sowjanya"/>
        <s v="Aravind"/>
        <s v="Sujatha"/>
        <s v="Rohith"/>
        <s v="Manasa"/>
        <s v="Vignesh"/>
        <s v="Nupur"/>
        <s v="Kailash"/>
        <s v="Snehal"/>
        <s v="Madan"/>
        <s v="Krithika"/>
        <s v="Rajkumar"/>
        <s v="Chandana"/>
        <s v="Akhil"/>
        <s v="Aishwarya"/>
        <s v="Rituja"/>
        <s v="Shankar"/>
        <s v="Priyanka"/>
        <s v="Girish"/>
        <s v="Sunitha"/>
        <s v="Nikhil"/>
        <s v="Shanta"/>
        <s v="Shruti"/>
        <s v="Minal"/>
        <s v="Kajal"/>
        <s v="Ram"/>
        <s v="Namita"/>
        <s v="Vikash"/>
        <s v="Pinky"/>
        <s v="Shivam"/>
        <s v="Renu"/>
        <s v="Murali"/>
        <s v="Ishita"/>
        <s v="Srinivas"/>
        <s v="Aarohi"/>
        <s v="Rohini"/>
        <s v="Keshav"/>
        <s v="Mohini"/>
        <s v="Pratik"/>
        <s v="Sarita"/>
        <s v="Abhinav"/>
        <s v="Lavanya"/>
        <s v="Rajat"/>
        <s v="Nethra"/>
        <s v="Sandeep"/>
        <s v="Vamsi"/>
        <s v="Reema"/>
        <s v="Akhilesh"/>
        <s v="Ankitha"/>
        <s v="Savita"/>
        <s v="Prashant"/>
        <s v="Nakul"/>
        <s v="Indira"/>
        <s v="Rachana"/>
        <s v="Shiv"/>
        <s v="Anupama"/>
        <s v="Kavita"/>
        <s v="Raman"/>
        <s v="Mahendra"/>
        <s v="Neelima"/>
        <s v="Gautham"/>
        <s v="Vikas"/>
        <s v="Nidhi"/>
        <s v="Meenakshi"/>
        <s v="Sujata"/>
        <s v="Praveen"/>
        <s v="Alka"/>
        <s v="Aman"/>
        <s v="Lata"/>
        <s v="Naina"/>
        <s v="Aditya"/>
        <s v="Vinay"/>
        <s v="Murugan"/>
        <s v="Ira"/>
        <s v="Raghavan"/>
        <s v="Shilpa"/>
        <s v="Shraddha"/>
        <s v="Akshay"/>
        <s v="Kusum"/>
        <s v="Pankhuri"/>
        <s v="Megha"/>
        <s v="Sathish"/>
        <s v="Anuradha"/>
        <s v="Varsha"/>
        <s v="Abhijit"/>
        <s v="Narayan"/>
        <s v="Suman"/>
      </sharedItems>
    </cacheField>
    <cacheField name="Gender" numFmtId="0">
      <sharedItems count="2">
        <s v="Male"/>
        <s v="Female"/>
      </sharedItems>
    </cacheField>
    <cacheField name="Age" numFmtId="0">
      <sharedItems containsSemiMixedTypes="0" containsString="0" containsNumber="1" containsInteger="1" minValue="23" maxValue="52"/>
    </cacheField>
    <cacheField name="Department" numFmtId="0">
      <sharedItems count="6">
        <s v="IT"/>
        <s v="HR"/>
        <s v="Finance"/>
        <s v="Operations"/>
        <s v="Sales"/>
        <s v="Marketing"/>
      </sharedItems>
    </cacheField>
    <cacheField name="JobRole" numFmtId="0">
      <sharedItems/>
    </cacheField>
    <cacheField name="Education" numFmtId="0">
      <sharedItems/>
    </cacheField>
    <cacheField name="ExperienceYears" numFmtId="0">
      <sharedItems containsSemiMixedTypes="0" containsString="0" containsNumber="1" containsInteger="1" minValue="1" maxValue="28"/>
    </cacheField>
    <cacheField name="Salary" numFmtId="164">
      <sharedItems containsSemiMixedTypes="0" containsString="0" containsNumber="1" containsInteger="1" minValue="22000" maxValue="195000"/>
    </cacheField>
    <cacheField name="PerformanceRating" numFmtId="0">
      <sharedItems containsSemiMixedTypes="0" containsString="0" containsNumber="1" containsInteger="1" minValue="2" maxValue="5" count="4">
        <n v="3"/>
        <n v="4"/>
        <n v="5"/>
        <n v="2"/>
      </sharedItems>
    </cacheField>
    <cacheField name="Attrition" numFmtId="0">
      <sharedItems count="2">
        <s v="No"/>
        <s v="Yes"/>
      </sharedItems>
    </cacheField>
    <cacheField name="WorkLocation" numFmtId="0">
      <sharedItems count="6">
        <s v="Bangalore"/>
        <s v="Chennai"/>
        <s v="Mumbai"/>
        <s v="Hyderabad"/>
        <s v="Delhi"/>
        <s v="Pune"/>
      </sharedItems>
    </cacheField>
    <cacheField name="JoiningYear" numFmtId="0">
      <sharedItems containsSemiMixedTypes="0" containsString="0" containsNumber="1" containsInteger="1" minValue="1996" maxValue="2024" count="29">
        <n v="2022"/>
        <n v="2019"/>
        <n v="2015"/>
        <n v="2023"/>
        <n v="2009"/>
        <n v="2017"/>
        <n v="2020"/>
        <n v="2014"/>
        <n v="2024"/>
        <n v="2011"/>
        <n v="2018"/>
        <n v="2021"/>
        <n v="2005"/>
        <n v="2016"/>
        <n v="2010"/>
        <n v="2008"/>
        <n v="2013"/>
        <n v="2007"/>
        <n v="2012"/>
        <n v="2006"/>
        <n v="2003"/>
        <n v="2004"/>
        <n v="2002"/>
        <n v="1999"/>
        <n v="2001"/>
        <n v="1996"/>
        <n v="1998"/>
        <n v="2000"/>
        <n v="1997"/>
      </sharedItems>
      <fieldGroup base="12">
        <rangePr startNum="1996" endNum="2024" groupInterval="5"/>
        <groupItems count="8">
          <s v="&lt;1996"/>
          <s v="1996-2000"/>
          <s v="2001-2005"/>
          <s v="2006-2010"/>
          <s v="2011-2015"/>
          <s v="2016-2020"/>
          <s v="2021-2025"/>
          <s v="&gt;2026"/>
        </groupItems>
      </fieldGroup>
    </cacheField>
    <cacheField name="Attrition rate" numFmtId="0" formula="Attrition" databaseField="0"/>
  </cacheFields>
  <extLst>
    <ext xmlns:x14="http://schemas.microsoft.com/office/spreadsheetml/2009/9/main" uri="{725AE2AE-9491-48be-B2B4-4EB974FC3084}">
      <x14:pivotCacheDefinition pivotCacheId="100762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n v="26"/>
    <x v="0"/>
    <s v="Software Engineer"/>
    <s v="Bachelor"/>
    <n v="3"/>
    <n v="45000"/>
    <x v="0"/>
    <x v="0"/>
    <x v="0"/>
    <x v="0"/>
  </r>
  <r>
    <x v="1"/>
    <x v="1"/>
    <x v="1"/>
    <n v="29"/>
    <x v="1"/>
    <s v="HR Executive"/>
    <s v="MBA"/>
    <n v="6"/>
    <n v="52000"/>
    <x v="1"/>
    <x v="0"/>
    <x v="1"/>
    <x v="1"/>
  </r>
  <r>
    <x v="2"/>
    <x v="2"/>
    <x v="0"/>
    <n v="35"/>
    <x v="2"/>
    <s v="Accountant"/>
    <s v="Bachelor"/>
    <n v="10"/>
    <n v="68000"/>
    <x v="1"/>
    <x v="0"/>
    <x v="2"/>
    <x v="2"/>
  </r>
  <r>
    <x v="3"/>
    <x v="3"/>
    <x v="1"/>
    <n v="24"/>
    <x v="0"/>
    <s v="QA Engineer"/>
    <s v="Bachelor"/>
    <n v="2"/>
    <n v="38000"/>
    <x v="0"/>
    <x v="0"/>
    <x v="3"/>
    <x v="3"/>
  </r>
  <r>
    <x v="4"/>
    <x v="4"/>
    <x v="0"/>
    <n v="41"/>
    <x v="3"/>
    <s v="Operations Manager"/>
    <s v="MBA"/>
    <n v="16"/>
    <n v="95000"/>
    <x v="2"/>
    <x v="0"/>
    <x v="0"/>
    <x v="4"/>
  </r>
  <r>
    <x v="5"/>
    <x v="5"/>
    <x v="1"/>
    <n v="31"/>
    <x v="4"/>
    <s v="Sales Executive"/>
    <s v="Bachelor"/>
    <n v="8"/>
    <n v="60000"/>
    <x v="1"/>
    <x v="0"/>
    <x v="4"/>
    <x v="5"/>
  </r>
  <r>
    <x v="6"/>
    <x v="6"/>
    <x v="0"/>
    <n v="28"/>
    <x v="5"/>
    <s v="Digital Marketer"/>
    <s v="Bachelor"/>
    <n v="5"/>
    <n v="55000"/>
    <x v="0"/>
    <x v="1"/>
    <x v="5"/>
    <x v="6"/>
  </r>
  <r>
    <x v="7"/>
    <x v="7"/>
    <x v="1"/>
    <n v="34"/>
    <x v="1"/>
    <s v="HR Manager"/>
    <s v="MBA"/>
    <n v="11"/>
    <n v="78000"/>
    <x v="2"/>
    <x v="0"/>
    <x v="2"/>
    <x v="7"/>
  </r>
  <r>
    <x v="8"/>
    <x v="8"/>
    <x v="0"/>
    <n v="23"/>
    <x v="0"/>
    <s v="Intern"/>
    <s v="Diploma"/>
    <n v="1"/>
    <n v="22000"/>
    <x v="3"/>
    <x v="1"/>
    <x v="0"/>
    <x v="8"/>
  </r>
  <r>
    <x v="9"/>
    <x v="9"/>
    <x v="1"/>
    <n v="37"/>
    <x v="2"/>
    <s v="Finance Manager"/>
    <s v="MBA"/>
    <n v="14"/>
    <n v="98000"/>
    <x v="2"/>
    <x v="0"/>
    <x v="4"/>
    <x v="9"/>
  </r>
  <r>
    <x v="10"/>
    <x v="10"/>
    <x v="0"/>
    <n v="30"/>
    <x v="0"/>
    <s v="Software Engineer"/>
    <s v="Bachelor"/>
    <n v="7"/>
    <n v="65000"/>
    <x v="1"/>
    <x v="0"/>
    <x v="3"/>
    <x v="10"/>
  </r>
  <r>
    <x v="11"/>
    <x v="11"/>
    <x v="1"/>
    <n v="27"/>
    <x v="4"/>
    <s v="Sales Executive"/>
    <s v="Bachelor"/>
    <n v="4"/>
    <n v="48000"/>
    <x v="0"/>
    <x v="1"/>
    <x v="1"/>
    <x v="11"/>
  </r>
  <r>
    <x v="12"/>
    <x v="12"/>
    <x v="0"/>
    <n v="45"/>
    <x v="3"/>
    <s v="Plant Head"/>
    <s v="MBA"/>
    <n v="20"/>
    <n v="120000"/>
    <x v="2"/>
    <x v="0"/>
    <x v="5"/>
    <x v="12"/>
  </r>
  <r>
    <x v="13"/>
    <x v="13"/>
    <x v="1"/>
    <n v="32"/>
    <x v="5"/>
    <s v="Content Strategist"/>
    <s v="Master"/>
    <n v="9"/>
    <n v="62000"/>
    <x v="1"/>
    <x v="0"/>
    <x v="0"/>
    <x v="13"/>
  </r>
  <r>
    <x v="14"/>
    <x v="14"/>
    <x v="0"/>
    <n v="39"/>
    <x v="0"/>
    <s v="Tech Lead"/>
    <s v="Master"/>
    <n v="15"/>
    <n v="105000"/>
    <x v="2"/>
    <x v="0"/>
    <x v="2"/>
    <x v="14"/>
  </r>
  <r>
    <x v="15"/>
    <x v="15"/>
    <x v="1"/>
    <n v="25"/>
    <x v="1"/>
    <s v="Recruiter"/>
    <s v="Bachelor"/>
    <n v="2"/>
    <n v="36000"/>
    <x v="0"/>
    <x v="1"/>
    <x v="3"/>
    <x v="3"/>
  </r>
  <r>
    <x v="16"/>
    <x v="16"/>
    <x v="0"/>
    <n v="34"/>
    <x v="2"/>
    <s v="Financial Analyst"/>
    <s v="Master"/>
    <n v="11"/>
    <n v="72000"/>
    <x v="1"/>
    <x v="0"/>
    <x v="4"/>
    <x v="7"/>
  </r>
  <r>
    <x v="17"/>
    <x v="17"/>
    <x v="1"/>
    <n v="29"/>
    <x v="0"/>
    <s v="UI/UX Designer"/>
    <s v="Bachelor"/>
    <n v="6"/>
    <n v="58000"/>
    <x v="1"/>
    <x v="0"/>
    <x v="5"/>
    <x v="1"/>
  </r>
  <r>
    <x v="18"/>
    <x v="18"/>
    <x v="0"/>
    <n v="42"/>
    <x v="4"/>
    <s v="Regional Manager"/>
    <s v="MBA"/>
    <n v="18"/>
    <n v="110000"/>
    <x v="2"/>
    <x v="0"/>
    <x v="0"/>
    <x v="15"/>
  </r>
  <r>
    <x v="19"/>
    <x v="19"/>
    <x v="1"/>
    <n v="26"/>
    <x v="5"/>
    <s v="SEO Analyst"/>
    <s v="Bachelor"/>
    <n v="3"/>
    <n v="42000"/>
    <x v="0"/>
    <x v="1"/>
    <x v="1"/>
    <x v="0"/>
  </r>
  <r>
    <x v="20"/>
    <x v="20"/>
    <x v="0"/>
    <n v="33"/>
    <x v="3"/>
    <s v="Supervisor"/>
    <s v="Diploma"/>
    <n v="10"/>
    <n v="56000"/>
    <x v="1"/>
    <x v="0"/>
    <x v="3"/>
    <x v="2"/>
  </r>
  <r>
    <x v="21"/>
    <x v="21"/>
    <x v="1"/>
    <n v="35"/>
    <x v="2"/>
    <s v="Audit Manager"/>
    <s v="MBA"/>
    <n v="12"/>
    <n v="82000"/>
    <x v="2"/>
    <x v="0"/>
    <x v="2"/>
    <x v="16"/>
  </r>
  <r>
    <x v="22"/>
    <x v="22"/>
    <x v="0"/>
    <n v="28"/>
    <x v="0"/>
    <s v="System Administrator"/>
    <s v="Bachelor"/>
    <n v="5"/>
    <n v="52000"/>
    <x v="0"/>
    <x v="0"/>
    <x v="4"/>
    <x v="6"/>
  </r>
  <r>
    <x v="23"/>
    <x v="23"/>
    <x v="1"/>
    <n v="40"/>
    <x v="1"/>
    <s v="HR Business Partner"/>
    <s v="MBA"/>
    <n v="17"/>
    <n v="90000"/>
    <x v="2"/>
    <x v="0"/>
    <x v="0"/>
    <x v="17"/>
  </r>
  <r>
    <x v="24"/>
    <x v="24"/>
    <x v="0"/>
    <n v="31"/>
    <x v="4"/>
    <s v="Key Account Manager"/>
    <s v="MBA"/>
    <n v="8"/>
    <n v="75000"/>
    <x v="1"/>
    <x v="0"/>
    <x v="5"/>
    <x v="5"/>
  </r>
  <r>
    <x v="25"/>
    <x v="25"/>
    <x v="1"/>
    <n v="27"/>
    <x v="0"/>
    <s v="Data Analyst"/>
    <s v="Master"/>
    <n v="4"/>
    <n v="60000"/>
    <x v="1"/>
    <x v="0"/>
    <x v="3"/>
    <x v="11"/>
  </r>
  <r>
    <x v="26"/>
    <x v="26"/>
    <x v="0"/>
    <n v="36"/>
    <x v="3"/>
    <s v="Logistics Manager"/>
    <s v="MBA"/>
    <n v="13"/>
    <n v="88000"/>
    <x v="2"/>
    <x v="0"/>
    <x v="1"/>
    <x v="18"/>
  </r>
  <r>
    <x v="27"/>
    <x v="27"/>
    <x v="1"/>
    <n v="23"/>
    <x v="5"/>
    <s v="Marketing Trainee"/>
    <s v="Bachelor"/>
    <n v="1"/>
    <n v="25000"/>
    <x v="3"/>
    <x v="1"/>
    <x v="0"/>
    <x v="8"/>
  </r>
  <r>
    <x v="28"/>
    <x v="28"/>
    <x v="0"/>
    <n v="44"/>
    <x v="2"/>
    <s v="Tax Consultant"/>
    <s v="Master"/>
    <n v="19"/>
    <n v="115000"/>
    <x v="2"/>
    <x v="0"/>
    <x v="4"/>
    <x v="19"/>
  </r>
  <r>
    <x v="29"/>
    <x v="29"/>
    <x v="1"/>
    <n v="34"/>
    <x v="0"/>
    <s v="Project Coordinator"/>
    <s v="MBA"/>
    <n v="11"/>
    <n v="70000"/>
    <x v="1"/>
    <x v="0"/>
    <x v="2"/>
    <x v="7"/>
  </r>
  <r>
    <x v="30"/>
    <x v="30"/>
    <x v="0"/>
    <n v="29"/>
    <x v="4"/>
    <s v="Sales Executive"/>
    <s v="Bachelor"/>
    <n v="6"/>
    <n v="54000"/>
    <x v="0"/>
    <x v="1"/>
    <x v="5"/>
    <x v="1"/>
  </r>
  <r>
    <x v="31"/>
    <x v="31"/>
    <x v="1"/>
    <n v="38"/>
    <x v="1"/>
    <s v="Training Manager"/>
    <s v="MBA"/>
    <n v="15"/>
    <n v="86000"/>
    <x v="2"/>
    <x v="0"/>
    <x v="3"/>
    <x v="14"/>
  </r>
  <r>
    <x v="32"/>
    <x v="32"/>
    <x v="0"/>
    <n v="41"/>
    <x v="3"/>
    <s v="Maintenance Head"/>
    <s v="Diploma"/>
    <n v="18"/>
    <n v="92000"/>
    <x v="1"/>
    <x v="0"/>
    <x v="1"/>
    <x v="15"/>
  </r>
  <r>
    <x v="33"/>
    <x v="33"/>
    <x v="1"/>
    <n v="26"/>
    <x v="0"/>
    <s v="Frontend Developer"/>
    <s v="Bachelor"/>
    <n v="3"/>
    <n v="46000"/>
    <x v="0"/>
    <x v="0"/>
    <x v="0"/>
    <x v="0"/>
  </r>
  <r>
    <x v="34"/>
    <x v="34"/>
    <x v="0"/>
    <n v="35"/>
    <x v="2"/>
    <s v="Cost Accountant"/>
    <s v="Master"/>
    <n v="12"/>
    <n v="78000"/>
    <x v="1"/>
    <x v="0"/>
    <x v="2"/>
    <x v="16"/>
  </r>
  <r>
    <x v="35"/>
    <x v="35"/>
    <x v="1"/>
    <n v="31"/>
    <x v="4"/>
    <s v="Sales Coordinator"/>
    <s v="Bachelor"/>
    <n v="7"/>
    <n v="50000"/>
    <x v="0"/>
    <x v="0"/>
    <x v="4"/>
    <x v="10"/>
  </r>
  <r>
    <x v="36"/>
    <x v="36"/>
    <x v="0"/>
    <n v="47"/>
    <x v="3"/>
    <s v="Operations Director"/>
    <s v="MBA"/>
    <n v="22"/>
    <n v="140000"/>
    <x v="2"/>
    <x v="0"/>
    <x v="5"/>
    <x v="20"/>
  </r>
  <r>
    <x v="37"/>
    <x v="37"/>
    <x v="1"/>
    <n v="28"/>
    <x v="5"/>
    <s v="Brand Executive"/>
    <s v="Master"/>
    <n v="5"/>
    <n v="58000"/>
    <x v="1"/>
    <x v="0"/>
    <x v="3"/>
    <x v="6"/>
  </r>
  <r>
    <x v="38"/>
    <x v="38"/>
    <x v="0"/>
    <n v="24"/>
    <x v="0"/>
    <s v="Support Engineer"/>
    <s v="Diploma"/>
    <n v="2"/>
    <n v="30000"/>
    <x v="0"/>
    <x v="1"/>
    <x v="0"/>
    <x v="3"/>
  </r>
  <r>
    <x v="39"/>
    <x v="39"/>
    <x v="1"/>
    <n v="39"/>
    <x v="2"/>
    <s v="Senior Accountant"/>
    <s v="Bachelor"/>
    <n v="16"/>
    <n v="82000"/>
    <x v="1"/>
    <x v="0"/>
    <x v="1"/>
    <x v="4"/>
  </r>
  <r>
    <x v="40"/>
    <x v="40"/>
    <x v="0"/>
    <n v="34"/>
    <x v="4"/>
    <s v="Area Sales Manager"/>
    <s v="MBA"/>
    <n v="11"/>
    <n v="90000"/>
    <x v="2"/>
    <x v="0"/>
    <x v="2"/>
    <x v="7"/>
  </r>
  <r>
    <x v="41"/>
    <x v="41"/>
    <x v="1"/>
    <n v="27"/>
    <x v="1"/>
    <s v="HR Analyst"/>
    <s v="Master"/>
    <n v="4"/>
    <n v="45000"/>
    <x v="0"/>
    <x v="1"/>
    <x v="5"/>
    <x v="11"/>
  </r>
  <r>
    <x v="42"/>
    <x v="42"/>
    <x v="0"/>
    <n v="30"/>
    <x v="0"/>
    <s v="Backend Developer"/>
    <s v="Bachelor"/>
    <n v="7"/>
    <n v="68000"/>
    <x v="1"/>
    <x v="0"/>
    <x v="3"/>
    <x v="10"/>
  </r>
  <r>
    <x v="43"/>
    <x v="43"/>
    <x v="1"/>
    <n v="33"/>
    <x v="5"/>
    <s v="PR Manager"/>
    <s v="MBA"/>
    <n v="10"/>
    <n v="75000"/>
    <x v="1"/>
    <x v="0"/>
    <x v="4"/>
    <x v="2"/>
  </r>
  <r>
    <x v="44"/>
    <x v="44"/>
    <x v="0"/>
    <n v="42"/>
    <x v="3"/>
    <s v="Warehouse Manager"/>
    <s v="Diploma"/>
    <n v="19"/>
    <n v="85000"/>
    <x v="1"/>
    <x v="0"/>
    <x v="0"/>
    <x v="19"/>
  </r>
  <r>
    <x v="45"/>
    <x v="45"/>
    <x v="1"/>
    <n v="25"/>
    <x v="2"/>
    <s v="Junior Accountant"/>
    <s v="Bachelor"/>
    <n v="2"/>
    <n v="34000"/>
    <x v="0"/>
    <x v="1"/>
    <x v="2"/>
    <x v="3"/>
  </r>
  <r>
    <x v="46"/>
    <x v="46"/>
    <x v="0"/>
    <n v="29"/>
    <x v="0"/>
    <s v="Cloud Engineer"/>
    <s v="Master"/>
    <n v="6"/>
    <n v="72000"/>
    <x v="1"/>
    <x v="0"/>
    <x v="5"/>
    <x v="1"/>
  </r>
  <r>
    <x v="47"/>
    <x v="47"/>
    <x v="1"/>
    <n v="36"/>
    <x v="1"/>
    <s v="Compensation Analyst"/>
    <s v="MBA"/>
    <n v="13"/>
    <n v="80000"/>
    <x v="1"/>
    <x v="0"/>
    <x v="3"/>
    <x v="18"/>
  </r>
  <r>
    <x v="48"/>
    <x v="48"/>
    <x v="0"/>
    <n v="38"/>
    <x v="4"/>
    <s v="Channel Manager"/>
    <s v="MBA"/>
    <n v="14"/>
    <n v="95000"/>
    <x v="2"/>
    <x v="0"/>
    <x v="1"/>
    <x v="9"/>
  </r>
  <r>
    <x v="49"/>
    <x v="49"/>
    <x v="1"/>
    <n v="24"/>
    <x v="5"/>
    <s v="Social Media Executive"/>
    <s v="Bachelor"/>
    <n v="1"/>
    <n v="28000"/>
    <x v="3"/>
    <x v="1"/>
    <x v="0"/>
    <x v="8"/>
  </r>
  <r>
    <x v="50"/>
    <x v="50"/>
    <x v="0"/>
    <n v="32"/>
    <x v="0"/>
    <s v="DevOps Engineer"/>
    <s v="Bachelor"/>
    <n v="9"/>
    <n v="78000"/>
    <x v="1"/>
    <x v="0"/>
    <x v="0"/>
    <x v="13"/>
  </r>
  <r>
    <x v="51"/>
    <x v="51"/>
    <x v="1"/>
    <n v="28"/>
    <x v="1"/>
    <s v="Talent Acquisition Specialist"/>
    <s v="MBA"/>
    <n v="5"/>
    <n v="52000"/>
    <x v="0"/>
    <x v="1"/>
    <x v="5"/>
    <x v="6"/>
  </r>
  <r>
    <x v="52"/>
    <x v="52"/>
    <x v="0"/>
    <n v="46"/>
    <x v="2"/>
    <s v="Senior Finance Controller"/>
    <s v="MBA"/>
    <n v="21"/>
    <n v="125000"/>
    <x v="2"/>
    <x v="0"/>
    <x v="2"/>
    <x v="21"/>
  </r>
  <r>
    <x v="53"/>
    <x v="53"/>
    <x v="1"/>
    <n v="26"/>
    <x v="4"/>
    <s v="Inside Sales Executive"/>
    <s v="Bachelor"/>
    <n v="3"/>
    <n v="42000"/>
    <x v="0"/>
    <x v="1"/>
    <x v="1"/>
    <x v="0"/>
  </r>
  <r>
    <x v="54"/>
    <x v="54"/>
    <x v="0"/>
    <n v="35"/>
    <x v="5"/>
    <s v="Marketing Manager"/>
    <s v="MBA"/>
    <n v="12"/>
    <n v="85000"/>
    <x v="1"/>
    <x v="0"/>
    <x v="4"/>
    <x v="16"/>
  </r>
  <r>
    <x v="55"/>
    <x v="55"/>
    <x v="1"/>
    <n v="41"/>
    <x v="3"/>
    <s v="Operations Lead"/>
    <s v="MBA"/>
    <n v="18"/>
    <n v="98000"/>
    <x v="2"/>
    <x v="0"/>
    <x v="0"/>
    <x v="17"/>
  </r>
  <r>
    <x v="56"/>
    <x v="56"/>
    <x v="0"/>
    <n v="29"/>
    <x v="0"/>
    <s v="Mobile App Developer"/>
    <s v="Bachelor"/>
    <n v="6"/>
    <n v="64000"/>
    <x v="1"/>
    <x v="0"/>
    <x v="3"/>
    <x v="1"/>
  </r>
  <r>
    <x v="57"/>
    <x v="57"/>
    <x v="1"/>
    <n v="33"/>
    <x v="2"/>
    <s v="Budget Analyst"/>
    <s v="Master"/>
    <n v="10"/>
    <n v="70000"/>
    <x v="1"/>
    <x v="0"/>
    <x v="5"/>
    <x v="2"/>
  </r>
  <r>
    <x v="58"/>
    <x v="58"/>
    <x v="0"/>
    <n v="27"/>
    <x v="1"/>
    <s v="HR Coordinator"/>
    <s v="Bachelor"/>
    <n v="4"/>
    <n v="40000"/>
    <x v="0"/>
    <x v="1"/>
    <x v="4"/>
    <x v="11"/>
  </r>
  <r>
    <x v="59"/>
    <x v="59"/>
    <x v="1"/>
    <n v="38"/>
    <x v="4"/>
    <s v="National Sales Manager"/>
    <s v="MBA"/>
    <n v="15"/>
    <n v="115000"/>
    <x v="2"/>
    <x v="0"/>
    <x v="1"/>
    <x v="14"/>
  </r>
  <r>
    <x v="60"/>
    <x v="60"/>
    <x v="0"/>
    <n v="24"/>
    <x v="0"/>
    <s v="Graduate Trainee"/>
    <s v="Bachelor"/>
    <n v="1"/>
    <n v="26000"/>
    <x v="3"/>
    <x v="1"/>
    <x v="0"/>
    <x v="8"/>
  </r>
  <r>
    <x v="61"/>
    <x v="61"/>
    <x v="1"/>
    <n v="31"/>
    <x v="5"/>
    <s v="Campaign Manager"/>
    <s v="Master"/>
    <n v="8"/>
    <n v="68000"/>
    <x v="1"/>
    <x v="0"/>
    <x v="2"/>
    <x v="5"/>
  </r>
  <r>
    <x v="62"/>
    <x v="62"/>
    <x v="0"/>
    <n v="44"/>
    <x v="3"/>
    <s v="Production Manager"/>
    <s v="Diploma"/>
    <n v="19"/>
    <n v="92000"/>
    <x v="1"/>
    <x v="0"/>
    <x v="3"/>
    <x v="19"/>
  </r>
  <r>
    <x v="63"/>
    <x v="63"/>
    <x v="1"/>
    <n v="29"/>
    <x v="2"/>
    <s v="Investment Analyst"/>
    <s v="Master"/>
    <n v="6"/>
    <n v="72000"/>
    <x v="1"/>
    <x v="0"/>
    <x v="4"/>
    <x v="1"/>
  </r>
  <r>
    <x v="64"/>
    <x v="64"/>
    <x v="0"/>
    <n v="36"/>
    <x v="0"/>
    <s v="Database Administrator"/>
    <s v="Master"/>
    <n v="13"/>
    <n v="88000"/>
    <x v="2"/>
    <x v="0"/>
    <x v="0"/>
    <x v="18"/>
  </r>
  <r>
    <x v="65"/>
    <x v="65"/>
    <x v="1"/>
    <n v="25"/>
    <x v="1"/>
    <s v="HR Assistant"/>
    <s v="Bachelor"/>
    <n v="2"/>
    <n v="32000"/>
    <x v="0"/>
    <x v="1"/>
    <x v="5"/>
    <x v="3"/>
  </r>
  <r>
    <x v="66"/>
    <x v="66"/>
    <x v="0"/>
    <n v="41"/>
    <x v="4"/>
    <s v="Zonal Sales Head"/>
    <s v="MBA"/>
    <n v="17"/>
    <n v="120000"/>
    <x v="2"/>
    <x v="0"/>
    <x v="2"/>
    <x v="15"/>
  </r>
  <r>
    <x v="67"/>
    <x v="67"/>
    <x v="1"/>
    <n v="34"/>
    <x v="5"/>
    <s v="Creative Lead"/>
    <s v="Master"/>
    <n v="11"/>
    <n v="76000"/>
    <x v="1"/>
    <x v="0"/>
    <x v="3"/>
    <x v="7"/>
  </r>
  <r>
    <x v="68"/>
    <x v="68"/>
    <x v="0"/>
    <n v="28"/>
    <x v="0"/>
    <s v="Network Engineer"/>
    <s v="Diploma"/>
    <n v="5"/>
    <n v="54000"/>
    <x v="0"/>
    <x v="0"/>
    <x v="1"/>
    <x v="6"/>
  </r>
  <r>
    <x v="69"/>
    <x v="69"/>
    <x v="1"/>
    <n v="37"/>
    <x v="2"/>
    <s v="Compliance Manager"/>
    <s v="MBA"/>
    <n v="14"/>
    <n v="86000"/>
    <x v="2"/>
    <x v="0"/>
    <x v="4"/>
    <x v="9"/>
  </r>
  <r>
    <x v="70"/>
    <x v="70"/>
    <x v="0"/>
    <n v="33"/>
    <x v="3"/>
    <s v="Process Improvement Lead"/>
    <s v="MBA"/>
    <n v="10"/>
    <n v="82000"/>
    <x v="1"/>
    <x v="0"/>
    <x v="0"/>
    <x v="2"/>
  </r>
  <r>
    <x v="71"/>
    <x v="71"/>
    <x v="1"/>
    <n v="26"/>
    <x v="4"/>
    <s v="Customer Relationship Executive"/>
    <s v="Bachelor"/>
    <n v="3"/>
    <n v="41000"/>
    <x v="0"/>
    <x v="1"/>
    <x v="5"/>
    <x v="0"/>
  </r>
  <r>
    <x v="72"/>
    <x v="72"/>
    <x v="0"/>
    <n v="39"/>
    <x v="0"/>
    <s v="Security Architect"/>
    <s v="Master"/>
    <n v="16"/>
    <n v="110000"/>
    <x v="2"/>
    <x v="0"/>
    <x v="2"/>
    <x v="4"/>
  </r>
  <r>
    <x v="73"/>
    <x v="73"/>
    <x v="1"/>
    <n v="30"/>
    <x v="1"/>
    <s v="Learning &amp; Development Specialist"/>
    <s v="MBA"/>
    <n v="7"/>
    <n v="60000"/>
    <x v="1"/>
    <x v="0"/>
    <x v="3"/>
    <x v="10"/>
  </r>
  <r>
    <x v="74"/>
    <x v="74"/>
    <x v="0"/>
    <n v="48"/>
    <x v="3"/>
    <s v="Plant Director"/>
    <s v="MBA"/>
    <n v="23"/>
    <n v="145000"/>
    <x v="2"/>
    <x v="0"/>
    <x v="1"/>
    <x v="22"/>
  </r>
  <r>
    <x v="75"/>
    <x v="75"/>
    <x v="1"/>
    <n v="24"/>
    <x v="5"/>
    <s v="Marketing Intern"/>
    <s v="Bachelor"/>
    <n v="1"/>
    <n v="24000"/>
    <x v="3"/>
    <x v="1"/>
    <x v="0"/>
    <x v="8"/>
  </r>
  <r>
    <x v="76"/>
    <x v="76"/>
    <x v="0"/>
    <n v="35"/>
    <x v="2"/>
    <s v="Risk Analyst"/>
    <s v="Master"/>
    <n v="12"/>
    <n v="79000"/>
    <x v="1"/>
    <x v="0"/>
    <x v="4"/>
    <x v="16"/>
  </r>
  <r>
    <x v="77"/>
    <x v="77"/>
    <x v="1"/>
    <n v="42"/>
    <x v="4"/>
    <s v="Sales Strategy Manager"/>
    <s v="MBA"/>
    <n v="18"/>
    <n v="105000"/>
    <x v="2"/>
    <x v="0"/>
    <x v="2"/>
    <x v="17"/>
  </r>
  <r>
    <x v="78"/>
    <x v="78"/>
    <x v="0"/>
    <n v="31"/>
    <x v="0"/>
    <s v="Full Stack Developer"/>
    <s v="Bachelor"/>
    <n v="8"/>
    <n v="72000"/>
    <x v="1"/>
    <x v="0"/>
    <x v="5"/>
    <x v="5"/>
  </r>
  <r>
    <x v="79"/>
    <x v="79"/>
    <x v="1"/>
    <n v="27"/>
    <x v="1"/>
    <s v="Employee Engagement Officer"/>
    <s v="Master"/>
    <n v="4"/>
    <n v="48000"/>
    <x v="0"/>
    <x v="1"/>
    <x v="1"/>
    <x v="11"/>
  </r>
  <r>
    <x v="80"/>
    <x v="80"/>
    <x v="0"/>
    <n v="45"/>
    <x v="3"/>
    <s v="Supply Chain Director"/>
    <s v="MBA"/>
    <n v="20"/>
    <n v="135000"/>
    <x v="2"/>
    <x v="0"/>
    <x v="0"/>
    <x v="12"/>
  </r>
  <r>
    <x v="81"/>
    <x v="81"/>
    <x v="1"/>
    <n v="34"/>
    <x v="2"/>
    <s v="Financial Reporting Lead"/>
    <s v="MBA"/>
    <n v="11"/>
    <n v="84000"/>
    <x v="1"/>
    <x v="0"/>
    <x v="3"/>
    <x v="7"/>
  </r>
  <r>
    <x v="82"/>
    <x v="82"/>
    <x v="0"/>
    <n v="29"/>
    <x v="4"/>
    <s v="Business Development Executive"/>
    <s v="Bachelor"/>
    <n v="6"/>
    <n v="56000"/>
    <x v="0"/>
    <x v="1"/>
    <x v="4"/>
    <x v="1"/>
  </r>
  <r>
    <x v="83"/>
    <x v="83"/>
    <x v="1"/>
    <n v="36"/>
    <x v="5"/>
    <s v="Market Research Manager"/>
    <s v="Master"/>
    <n v="13"/>
    <n v="82000"/>
    <x v="1"/>
    <x v="0"/>
    <x v="2"/>
    <x v="18"/>
  </r>
  <r>
    <x v="84"/>
    <x v="84"/>
    <x v="0"/>
    <n v="41"/>
    <x v="0"/>
    <s v="ERP Consultant"/>
    <s v="MBA"/>
    <n v="17"/>
    <n v="98000"/>
    <x v="2"/>
    <x v="0"/>
    <x v="0"/>
    <x v="15"/>
  </r>
  <r>
    <x v="85"/>
    <x v="85"/>
    <x v="1"/>
    <n v="25"/>
    <x v="1"/>
    <s v="HR Operations Executive"/>
    <s v="Bachelor"/>
    <n v="2"/>
    <n v="35000"/>
    <x v="0"/>
    <x v="1"/>
    <x v="5"/>
    <x v="3"/>
  </r>
  <r>
    <x v="86"/>
    <x v="86"/>
    <x v="0"/>
    <n v="38"/>
    <x v="4"/>
    <s v="Corporate Sales Manager"/>
    <s v="MBA"/>
    <n v="14"/>
    <n v="92000"/>
    <x v="1"/>
    <x v="0"/>
    <x v="1"/>
    <x v="9"/>
  </r>
  <r>
    <x v="87"/>
    <x v="87"/>
    <x v="1"/>
    <n v="28"/>
    <x v="2"/>
    <s v="Equity Research Analyst"/>
    <s v="Master"/>
    <n v="5"/>
    <n v="65000"/>
    <x v="1"/>
    <x v="0"/>
    <x v="4"/>
    <x v="6"/>
  </r>
  <r>
    <x v="88"/>
    <x v="14"/>
    <x v="0"/>
    <n v="43"/>
    <x v="3"/>
    <s v="Quality Assurance Manager"/>
    <s v="Diploma"/>
    <n v="18"/>
    <n v="88000"/>
    <x v="1"/>
    <x v="0"/>
    <x v="3"/>
    <x v="19"/>
  </r>
  <r>
    <x v="89"/>
    <x v="88"/>
    <x v="1"/>
    <n v="32"/>
    <x v="5"/>
    <s v="Email Marketing Specialist"/>
    <s v="Bachelor"/>
    <n v="9"/>
    <n v="62000"/>
    <x v="1"/>
    <x v="0"/>
    <x v="0"/>
    <x v="13"/>
  </r>
  <r>
    <x v="90"/>
    <x v="89"/>
    <x v="0"/>
    <n v="26"/>
    <x v="0"/>
    <s v="Junior Data Engineer"/>
    <s v="Bachelor"/>
    <n v="3"/>
    <n v="48000"/>
    <x v="0"/>
    <x v="1"/>
    <x v="5"/>
    <x v="0"/>
  </r>
  <r>
    <x v="91"/>
    <x v="90"/>
    <x v="1"/>
    <n v="39"/>
    <x v="1"/>
    <s v="HR Compliance Manager"/>
    <s v="MBA"/>
    <n v="16"/>
    <n v="90000"/>
    <x v="2"/>
    <x v="0"/>
    <x v="2"/>
    <x v="4"/>
  </r>
  <r>
    <x v="92"/>
    <x v="91"/>
    <x v="0"/>
    <n v="35"/>
    <x v="2"/>
    <s v="Treasury Manager"/>
    <s v="MBA"/>
    <n v="12"/>
    <n v="88000"/>
    <x v="1"/>
    <x v="0"/>
    <x v="4"/>
    <x v="16"/>
  </r>
  <r>
    <x v="93"/>
    <x v="92"/>
    <x v="1"/>
    <n v="47"/>
    <x v="3"/>
    <s v="Facility Management Head"/>
    <s v="MBA"/>
    <n v="22"/>
    <n v="115000"/>
    <x v="2"/>
    <x v="0"/>
    <x v="1"/>
    <x v="20"/>
  </r>
  <r>
    <x v="94"/>
    <x v="93"/>
    <x v="0"/>
    <n v="28"/>
    <x v="4"/>
    <s v="Sales Analyst"/>
    <s v="Master"/>
    <n v="5"/>
    <n v="58000"/>
    <x v="0"/>
    <x v="1"/>
    <x v="0"/>
    <x v="6"/>
  </r>
  <r>
    <x v="95"/>
    <x v="11"/>
    <x v="1"/>
    <n v="33"/>
    <x v="0"/>
    <s v="Automation Test Lead"/>
    <s v="Master"/>
    <n v="10"/>
    <n v="76000"/>
    <x v="1"/>
    <x v="0"/>
    <x v="3"/>
    <x v="2"/>
  </r>
  <r>
    <x v="96"/>
    <x v="94"/>
    <x v="0"/>
    <n v="40"/>
    <x v="5"/>
    <s v="Regional Marketing Head"/>
    <s v="MBA"/>
    <n v="17"/>
    <n v="98000"/>
    <x v="2"/>
    <x v="0"/>
    <x v="2"/>
    <x v="15"/>
  </r>
  <r>
    <x v="97"/>
    <x v="95"/>
    <x v="1"/>
    <n v="24"/>
    <x v="1"/>
    <s v="HR Trainee"/>
    <s v="Bachelor"/>
    <n v="1"/>
    <n v="26000"/>
    <x v="3"/>
    <x v="1"/>
    <x v="4"/>
    <x v="8"/>
  </r>
  <r>
    <x v="98"/>
    <x v="96"/>
    <x v="0"/>
    <n v="37"/>
    <x v="2"/>
    <s v="Cost Control Manager"/>
    <s v="MBA"/>
    <n v="14"/>
    <n v="86000"/>
    <x v="1"/>
    <x v="0"/>
    <x v="5"/>
    <x v="9"/>
  </r>
  <r>
    <x v="99"/>
    <x v="97"/>
    <x v="1"/>
    <n v="31"/>
    <x v="4"/>
    <s v="Pre-Sales Consultant"/>
    <s v="Master"/>
    <n v="8"/>
    <n v="70000"/>
    <x v="1"/>
    <x v="0"/>
    <x v="0"/>
    <x v="5"/>
  </r>
  <r>
    <x v="100"/>
    <x v="98"/>
    <x v="0"/>
    <n v="34"/>
    <x v="0"/>
    <s v="API Integration Specialist"/>
    <s v="Master"/>
    <n v="11"/>
    <n v="82000"/>
    <x v="1"/>
    <x v="0"/>
    <x v="0"/>
    <x v="2"/>
  </r>
  <r>
    <x v="101"/>
    <x v="99"/>
    <x v="1"/>
    <n v="27"/>
    <x v="1"/>
    <s v="Campus Hiring Executive"/>
    <s v="MBA"/>
    <n v="4"/>
    <n v="42000"/>
    <x v="0"/>
    <x v="1"/>
    <x v="4"/>
    <x v="11"/>
  </r>
  <r>
    <x v="102"/>
    <x v="100"/>
    <x v="0"/>
    <n v="49"/>
    <x v="3"/>
    <s v="Chief Operations Officer"/>
    <s v="MBA"/>
    <n v="25"/>
    <n v="165000"/>
    <x v="2"/>
    <x v="0"/>
    <x v="2"/>
    <x v="23"/>
  </r>
  <r>
    <x v="103"/>
    <x v="101"/>
    <x v="1"/>
    <n v="31"/>
    <x v="2"/>
    <s v="Revenue Analyst"/>
    <s v="Master"/>
    <n v="8"/>
    <n v="72000"/>
    <x v="1"/>
    <x v="0"/>
    <x v="3"/>
    <x v="5"/>
  </r>
  <r>
    <x v="104"/>
    <x v="102"/>
    <x v="0"/>
    <n v="29"/>
    <x v="4"/>
    <s v="International Sales Executive"/>
    <s v="Bachelor"/>
    <n v="6"/>
    <n v="68000"/>
    <x v="1"/>
    <x v="0"/>
    <x v="1"/>
    <x v="1"/>
  </r>
  <r>
    <x v="105"/>
    <x v="103"/>
    <x v="1"/>
    <n v="36"/>
    <x v="5"/>
    <s v="Product Marketing Manager"/>
    <s v="MBA"/>
    <n v="13"/>
    <n v="88000"/>
    <x v="1"/>
    <x v="0"/>
    <x v="0"/>
    <x v="18"/>
  </r>
  <r>
    <x v="106"/>
    <x v="104"/>
    <x v="0"/>
    <n v="42"/>
    <x v="0"/>
    <s v="IT Program Manager"/>
    <s v="MBA"/>
    <n v="18"/>
    <n v="120000"/>
    <x v="2"/>
    <x v="0"/>
    <x v="5"/>
    <x v="17"/>
  </r>
  <r>
    <x v="107"/>
    <x v="105"/>
    <x v="1"/>
    <n v="45"/>
    <x v="1"/>
    <s v="HR Transformation Lead"/>
    <s v="MBA"/>
    <n v="20"/>
    <n v="105000"/>
    <x v="2"/>
    <x v="0"/>
    <x v="2"/>
    <x v="12"/>
  </r>
  <r>
    <x v="108"/>
    <x v="106"/>
    <x v="0"/>
    <n v="25"/>
    <x v="2"/>
    <s v="Finance Operations Analyst"/>
    <s v="Bachelor"/>
    <n v="2"/>
    <n v="36000"/>
    <x v="0"/>
    <x v="1"/>
    <x v="4"/>
    <x v="3"/>
  </r>
  <r>
    <x v="109"/>
    <x v="107"/>
    <x v="1"/>
    <n v="33"/>
    <x v="3"/>
    <s v="Operations Excellence Manager"/>
    <s v="MBA"/>
    <n v="10"/>
    <n v="84000"/>
    <x v="1"/>
    <x v="0"/>
    <x v="3"/>
    <x v="2"/>
  </r>
  <r>
    <x v="110"/>
    <x v="4"/>
    <x v="0"/>
    <n v="28"/>
    <x v="0"/>
    <s v="React Developer"/>
    <s v="Bachelor"/>
    <n v="5"/>
    <n v="62000"/>
    <x v="1"/>
    <x v="0"/>
    <x v="0"/>
    <x v="6"/>
  </r>
  <r>
    <x v="111"/>
    <x v="108"/>
    <x v="1"/>
    <n v="35"/>
    <x v="4"/>
    <s v="Enterprise Sales Manager"/>
    <s v="MBA"/>
    <n v="12"/>
    <n v="98000"/>
    <x v="2"/>
    <x v="0"/>
    <x v="1"/>
    <x v="16"/>
  </r>
  <r>
    <x v="112"/>
    <x v="109"/>
    <x v="0"/>
    <n v="40"/>
    <x v="5"/>
    <s v="Media Planning Head"/>
    <s v="MBA"/>
    <n v="17"/>
    <n v="102000"/>
    <x v="2"/>
    <x v="0"/>
    <x v="2"/>
    <x v="15"/>
  </r>
  <r>
    <x v="113"/>
    <x v="110"/>
    <x v="1"/>
    <n v="24"/>
    <x v="1"/>
    <s v="HR Documentation Executive"/>
    <s v="Bachelor"/>
    <n v="1"/>
    <n v="25000"/>
    <x v="3"/>
    <x v="1"/>
    <x v="5"/>
    <x v="8"/>
  </r>
  <r>
    <x v="114"/>
    <x v="111"/>
    <x v="0"/>
    <n v="37"/>
    <x v="2"/>
    <s v="FP&amp;A Manager"/>
    <s v="MBA"/>
    <n v="14"/>
    <n v="92000"/>
    <x v="1"/>
    <x v="0"/>
    <x v="0"/>
    <x v="9"/>
  </r>
  <r>
    <x v="115"/>
    <x v="112"/>
    <x v="1"/>
    <n v="30"/>
    <x v="0"/>
    <s v="DevOps Automation Engineer"/>
    <s v="Master"/>
    <n v="7"/>
    <n v="74000"/>
    <x v="1"/>
    <x v="0"/>
    <x v="3"/>
    <x v="10"/>
  </r>
  <r>
    <x v="116"/>
    <x v="24"/>
    <x v="0"/>
    <n v="44"/>
    <x v="3"/>
    <s v="Lean Six Sigma Lead"/>
    <s v="MBA"/>
    <n v="19"/>
    <n v="108000"/>
    <x v="2"/>
    <x v="0"/>
    <x v="1"/>
    <x v="19"/>
  </r>
  <r>
    <x v="117"/>
    <x v="113"/>
    <x v="1"/>
    <n v="26"/>
    <x v="5"/>
    <s v="Influencer Marketing Executive"/>
    <s v="Bachelor"/>
    <n v="3"/>
    <n v="45000"/>
    <x v="0"/>
    <x v="1"/>
    <x v="4"/>
    <x v="0"/>
  </r>
  <r>
    <x v="118"/>
    <x v="114"/>
    <x v="0"/>
    <n v="32"/>
    <x v="4"/>
    <s v="Sales Planning Analyst"/>
    <s v="Master"/>
    <n v="9"/>
    <n v="70000"/>
    <x v="1"/>
    <x v="0"/>
    <x v="5"/>
    <x v="13"/>
  </r>
  <r>
    <x v="119"/>
    <x v="115"/>
    <x v="1"/>
    <n v="38"/>
    <x v="1"/>
    <s v="HR Analytics Manager"/>
    <s v="MBA"/>
    <n v="15"/>
    <n v="92000"/>
    <x v="2"/>
    <x v="0"/>
    <x v="2"/>
    <x v="14"/>
  </r>
  <r>
    <x v="120"/>
    <x v="116"/>
    <x v="0"/>
    <n v="27"/>
    <x v="0"/>
    <s v="Junior Python Developer"/>
    <s v="Bachelor"/>
    <n v="4"/>
    <n v="48000"/>
    <x v="0"/>
    <x v="1"/>
    <x v="0"/>
    <x v="11"/>
  </r>
  <r>
    <x v="121"/>
    <x v="117"/>
    <x v="1"/>
    <n v="41"/>
    <x v="2"/>
    <s v="Internal Audit Head"/>
    <s v="MBA"/>
    <n v="18"/>
    <n v="110000"/>
    <x v="2"/>
    <x v="0"/>
    <x v="3"/>
    <x v="17"/>
  </r>
  <r>
    <x v="122"/>
    <x v="118"/>
    <x v="0"/>
    <n v="35"/>
    <x v="3"/>
    <s v="Capacity Planning Manager"/>
    <s v="MBA"/>
    <n v="12"/>
    <n v="86000"/>
    <x v="1"/>
    <x v="0"/>
    <x v="4"/>
    <x v="16"/>
  </r>
  <r>
    <x v="123"/>
    <x v="119"/>
    <x v="1"/>
    <n v="29"/>
    <x v="4"/>
    <s v="Key Accounts Executive"/>
    <s v="MBA"/>
    <n v="6"/>
    <n v="72000"/>
    <x v="1"/>
    <x v="0"/>
    <x v="2"/>
    <x v="1"/>
  </r>
  <r>
    <x v="124"/>
    <x v="120"/>
    <x v="0"/>
    <n v="47"/>
    <x v="0"/>
    <s v="Enterprise Architect"/>
    <s v="Master"/>
    <n v="23"/>
    <n v="135000"/>
    <x v="2"/>
    <x v="0"/>
    <x v="0"/>
    <x v="22"/>
  </r>
  <r>
    <x v="125"/>
    <x v="121"/>
    <x v="1"/>
    <n v="25"/>
    <x v="1"/>
    <s v="HR MIS Executive"/>
    <s v="Bachelor"/>
    <n v="2"/>
    <n v="33000"/>
    <x v="0"/>
    <x v="1"/>
    <x v="5"/>
    <x v="3"/>
  </r>
  <r>
    <x v="126"/>
    <x v="122"/>
    <x v="0"/>
    <n v="39"/>
    <x v="2"/>
    <s v="Corporate Finance Manager"/>
    <s v="MBA"/>
    <n v="16"/>
    <n v="98000"/>
    <x v="2"/>
    <x v="0"/>
    <x v="1"/>
    <x v="4"/>
  </r>
  <r>
    <x v="127"/>
    <x v="123"/>
    <x v="1"/>
    <n v="34"/>
    <x v="5"/>
    <s v="Customer Insights Manager"/>
    <s v="Master"/>
    <n v="11"/>
    <n v="82000"/>
    <x v="1"/>
    <x v="0"/>
    <x v="3"/>
    <x v="7"/>
  </r>
  <r>
    <x v="128"/>
    <x v="124"/>
    <x v="0"/>
    <n v="31"/>
    <x v="0"/>
    <s v="Node.js Developer"/>
    <s v="Bachelor"/>
    <n v="8"/>
    <n v="71000"/>
    <x v="1"/>
    <x v="0"/>
    <x v="0"/>
    <x v="5"/>
  </r>
  <r>
    <x v="129"/>
    <x v="125"/>
    <x v="1"/>
    <n v="28"/>
    <x v="4"/>
    <s v="Sales Enablement Executive"/>
    <s v="Bachelor"/>
    <n v="5"/>
    <n v="56000"/>
    <x v="0"/>
    <x v="1"/>
    <x v="4"/>
    <x v="6"/>
  </r>
  <r>
    <x v="130"/>
    <x v="126"/>
    <x v="0"/>
    <n v="43"/>
    <x v="3"/>
    <s v="Industrial Engineering Head"/>
    <s v="MBA"/>
    <n v="18"/>
    <n v="118000"/>
    <x v="2"/>
    <x v="0"/>
    <x v="5"/>
    <x v="19"/>
  </r>
  <r>
    <x v="131"/>
    <x v="127"/>
    <x v="1"/>
    <n v="36"/>
    <x v="1"/>
    <s v="HR Policy Manager"/>
    <s v="MBA"/>
    <n v="13"/>
    <n v="88000"/>
    <x v="1"/>
    <x v="0"/>
    <x v="2"/>
    <x v="18"/>
  </r>
  <r>
    <x v="132"/>
    <x v="71"/>
    <x v="0"/>
    <n v="29"/>
    <x v="2"/>
    <s v="Accounts Receivable Lead"/>
    <s v="Bachelor"/>
    <n v="6"/>
    <n v="60000"/>
    <x v="1"/>
    <x v="0"/>
    <x v="3"/>
    <x v="1"/>
  </r>
  <r>
    <x v="133"/>
    <x v="128"/>
    <x v="1"/>
    <n v="33"/>
    <x v="5"/>
    <s v="Marketing Automation Specialist"/>
    <s v="Master"/>
    <n v="10"/>
    <n v="74000"/>
    <x v="1"/>
    <x v="0"/>
    <x v="0"/>
    <x v="2"/>
  </r>
  <r>
    <x v="134"/>
    <x v="129"/>
    <x v="0"/>
    <n v="45"/>
    <x v="4"/>
    <s v="National Key Accounts Head"/>
    <s v="MBA"/>
    <n v="21"/>
    <n v="135000"/>
    <x v="2"/>
    <x v="0"/>
    <x v="1"/>
    <x v="21"/>
  </r>
  <r>
    <x v="135"/>
    <x v="41"/>
    <x v="1"/>
    <n v="24"/>
    <x v="1"/>
    <s v="HR Operations Trainee"/>
    <s v="Bachelor"/>
    <n v="1"/>
    <n v="24000"/>
    <x v="3"/>
    <x v="1"/>
    <x v="4"/>
    <x v="8"/>
  </r>
  <r>
    <x v="136"/>
    <x v="130"/>
    <x v="0"/>
    <n v="38"/>
    <x v="0"/>
    <s v="Middleware Administrator"/>
    <s v="Master"/>
    <n v="15"/>
    <n v="88000"/>
    <x v="1"/>
    <x v="0"/>
    <x v="5"/>
    <x v="14"/>
  </r>
  <r>
    <x v="137"/>
    <x v="131"/>
    <x v="1"/>
    <n v="42"/>
    <x v="2"/>
    <s v="Statutory Compliance Manager"/>
    <s v="MBA"/>
    <n v="19"/>
    <n v="102000"/>
    <x v="2"/>
    <x v="0"/>
    <x v="2"/>
    <x v="19"/>
  </r>
  <r>
    <x v="138"/>
    <x v="132"/>
    <x v="0"/>
    <n v="34"/>
    <x v="3"/>
    <s v="Production Planning Manager"/>
    <s v="MBA"/>
    <n v="11"/>
    <n v="86000"/>
    <x v="1"/>
    <x v="0"/>
    <x v="0"/>
    <x v="7"/>
  </r>
  <r>
    <x v="139"/>
    <x v="133"/>
    <x v="1"/>
    <n v="27"/>
    <x v="5"/>
    <s v="Marketing Data Analyst"/>
    <s v="Master"/>
    <n v="4"/>
    <n v="58000"/>
    <x v="0"/>
    <x v="1"/>
    <x v="3"/>
    <x v="11"/>
  </r>
  <r>
    <x v="140"/>
    <x v="134"/>
    <x v="0"/>
    <n v="30"/>
    <x v="0"/>
    <s v="Machine Learning Engineer"/>
    <s v="Master"/>
    <n v="7"/>
    <n v="88000"/>
    <x v="1"/>
    <x v="0"/>
    <x v="4"/>
    <x v="10"/>
  </r>
  <r>
    <x v="141"/>
    <x v="29"/>
    <x v="1"/>
    <n v="39"/>
    <x v="4"/>
    <s v="Sales Operations Manager"/>
    <s v="MBA"/>
    <n v="16"/>
    <n v="96000"/>
    <x v="2"/>
    <x v="0"/>
    <x v="2"/>
    <x v="4"/>
  </r>
  <r>
    <x v="142"/>
    <x v="135"/>
    <x v="0"/>
    <n v="46"/>
    <x v="3"/>
    <s v="Factory General Manager"/>
    <s v="MBA"/>
    <n v="22"/>
    <n v="142000"/>
    <x v="2"/>
    <x v="0"/>
    <x v="1"/>
    <x v="20"/>
  </r>
  <r>
    <x v="143"/>
    <x v="136"/>
    <x v="1"/>
    <n v="31"/>
    <x v="1"/>
    <s v="HR Systems Analyst"/>
    <s v="Master"/>
    <n v="8"/>
    <n v="68000"/>
    <x v="1"/>
    <x v="0"/>
    <x v="0"/>
    <x v="5"/>
  </r>
  <r>
    <x v="144"/>
    <x v="14"/>
    <x v="0"/>
    <n v="36"/>
    <x v="2"/>
    <s v="Financial Systems Manager"/>
    <s v="MBA"/>
    <n v="13"/>
    <n v="90000"/>
    <x v="1"/>
    <x v="0"/>
    <x v="3"/>
    <x v="18"/>
  </r>
  <r>
    <x v="145"/>
    <x v="27"/>
    <x v="1"/>
    <n v="25"/>
    <x v="4"/>
    <s v="Sales Support Executive"/>
    <s v="Bachelor"/>
    <n v="2"/>
    <n v="35000"/>
    <x v="0"/>
    <x v="1"/>
    <x v="5"/>
    <x v="3"/>
  </r>
  <r>
    <x v="146"/>
    <x v="18"/>
    <x v="0"/>
    <n v="41"/>
    <x v="0"/>
    <s v="Application Support Lead"/>
    <s v="Bachelor"/>
    <n v="18"/>
    <n v="86000"/>
    <x v="1"/>
    <x v="0"/>
    <x v="2"/>
    <x v="19"/>
  </r>
  <r>
    <x v="147"/>
    <x v="137"/>
    <x v="1"/>
    <n v="34"/>
    <x v="5"/>
    <s v="Growth Marketing Manager"/>
    <s v="MBA"/>
    <n v="11"/>
    <n v="84000"/>
    <x v="1"/>
    <x v="0"/>
    <x v="4"/>
    <x v="7"/>
  </r>
  <r>
    <x v="148"/>
    <x v="138"/>
    <x v="0"/>
    <n v="48"/>
    <x v="3"/>
    <s v="Head of Manufacturing"/>
    <s v="MBA"/>
    <n v="24"/>
    <n v="155000"/>
    <x v="2"/>
    <x v="0"/>
    <x v="0"/>
    <x v="24"/>
  </r>
  <r>
    <x v="149"/>
    <x v="139"/>
    <x v="1"/>
    <n v="29"/>
    <x v="1"/>
    <s v="HR Operations Manager"/>
    <s v="MBA"/>
    <n v="6"/>
    <n v="72000"/>
    <x v="1"/>
    <x v="0"/>
    <x v="1"/>
    <x v="1"/>
  </r>
  <r>
    <x v="150"/>
    <x v="140"/>
    <x v="0"/>
    <n v="33"/>
    <x v="0"/>
    <s v="Software Configuration Manager"/>
    <s v="Master"/>
    <n v="10"/>
    <n v="82000"/>
    <x v="1"/>
    <x v="0"/>
    <x v="0"/>
    <x v="2"/>
  </r>
  <r>
    <x v="151"/>
    <x v="141"/>
    <x v="1"/>
    <n v="26"/>
    <x v="1"/>
    <s v="HR Shared Services Executive"/>
    <s v="Bachelor"/>
    <n v="3"/>
    <n v="38000"/>
    <x v="0"/>
    <x v="1"/>
    <x v="5"/>
    <x v="0"/>
  </r>
  <r>
    <x v="152"/>
    <x v="142"/>
    <x v="0"/>
    <n v="52"/>
    <x v="3"/>
    <s v="Chief Manufacturing Officer"/>
    <s v="MBA"/>
    <n v="28"/>
    <n v="175000"/>
    <x v="2"/>
    <x v="0"/>
    <x v="1"/>
    <x v="25"/>
  </r>
  <r>
    <x v="153"/>
    <x v="143"/>
    <x v="1"/>
    <n v="35"/>
    <x v="2"/>
    <s v="Financial Controls Manager"/>
    <s v="MBA"/>
    <n v="12"/>
    <n v="90000"/>
    <x v="1"/>
    <x v="0"/>
    <x v="2"/>
    <x v="16"/>
  </r>
  <r>
    <x v="154"/>
    <x v="144"/>
    <x v="0"/>
    <n v="29"/>
    <x v="4"/>
    <s v="Export Sales Executive"/>
    <s v="Bachelor"/>
    <n v="6"/>
    <n v="65000"/>
    <x v="1"/>
    <x v="0"/>
    <x v="4"/>
    <x v="1"/>
  </r>
  <r>
    <x v="155"/>
    <x v="145"/>
    <x v="1"/>
    <n v="41"/>
    <x v="5"/>
    <s v="Corporate Communications Head"/>
    <s v="MBA"/>
    <n v="18"/>
    <n v="102000"/>
    <x v="2"/>
    <x v="0"/>
    <x v="0"/>
    <x v="17"/>
  </r>
  <r>
    <x v="156"/>
    <x v="146"/>
    <x v="0"/>
    <n v="37"/>
    <x v="0"/>
    <s v="Release Manager"/>
    <s v="Master"/>
    <n v="14"/>
    <n v="96000"/>
    <x v="1"/>
    <x v="0"/>
    <x v="3"/>
    <x v="9"/>
  </r>
  <r>
    <x v="157"/>
    <x v="147"/>
    <x v="1"/>
    <n v="45"/>
    <x v="1"/>
    <s v="HR Governance Head"/>
    <s v="MBA"/>
    <n v="20"/>
    <n v="110000"/>
    <x v="2"/>
    <x v="0"/>
    <x v="2"/>
    <x v="12"/>
  </r>
  <r>
    <x v="158"/>
    <x v="148"/>
    <x v="0"/>
    <n v="24"/>
    <x v="2"/>
    <s v="Accounts Payable Analyst"/>
    <s v="Bachelor"/>
    <n v="1"/>
    <n v="28000"/>
    <x v="3"/>
    <x v="1"/>
    <x v="5"/>
    <x v="8"/>
  </r>
  <r>
    <x v="159"/>
    <x v="149"/>
    <x v="1"/>
    <n v="31"/>
    <x v="3"/>
    <s v="Operations Reporting Manager"/>
    <s v="MBA"/>
    <n v="8"/>
    <n v="78000"/>
    <x v="1"/>
    <x v="0"/>
    <x v="0"/>
    <x v="5"/>
  </r>
  <r>
    <x v="160"/>
    <x v="150"/>
    <x v="0"/>
    <n v="28"/>
    <x v="0"/>
    <s v="Angular Developer"/>
    <s v="Bachelor"/>
    <n v="5"/>
    <n v="60000"/>
    <x v="1"/>
    <x v="0"/>
    <x v="1"/>
    <x v="6"/>
  </r>
  <r>
    <x v="161"/>
    <x v="151"/>
    <x v="1"/>
    <n v="39"/>
    <x v="4"/>
    <s v="Sales Performance Manager"/>
    <s v="MBA"/>
    <n v="16"/>
    <n v="94000"/>
    <x v="2"/>
    <x v="0"/>
    <x v="4"/>
    <x v="4"/>
  </r>
  <r>
    <x v="162"/>
    <x v="152"/>
    <x v="0"/>
    <n v="44"/>
    <x v="5"/>
    <s v="Head of Market Expansion"/>
    <s v="MBA"/>
    <n v="21"/>
    <n v="118000"/>
    <x v="2"/>
    <x v="0"/>
    <x v="2"/>
    <x v="21"/>
  </r>
  <r>
    <x v="163"/>
    <x v="153"/>
    <x v="1"/>
    <n v="25"/>
    <x v="1"/>
    <s v="HR Operations Executive"/>
    <s v="Bachelor"/>
    <n v="2"/>
    <n v="34000"/>
    <x v="0"/>
    <x v="1"/>
    <x v="3"/>
    <x v="3"/>
  </r>
  <r>
    <x v="164"/>
    <x v="154"/>
    <x v="0"/>
    <n v="36"/>
    <x v="2"/>
    <s v="Working Capital Manager"/>
    <s v="MBA"/>
    <n v="13"/>
    <n v="88000"/>
    <x v="1"/>
    <x v="0"/>
    <x v="0"/>
    <x v="18"/>
  </r>
  <r>
    <x v="165"/>
    <x v="155"/>
    <x v="1"/>
    <n v="29"/>
    <x v="4"/>
    <s v="Trade Marketing Executive"/>
    <s v="Bachelor"/>
    <n v="6"/>
    <n v="52000"/>
    <x v="0"/>
    <x v="1"/>
    <x v="1"/>
    <x v="1"/>
  </r>
  <r>
    <x v="166"/>
    <x v="156"/>
    <x v="0"/>
    <n v="48"/>
    <x v="3"/>
    <s v="Manufacturing Excellence Head"/>
    <s v="MBA"/>
    <n v="24"/>
    <n v="150000"/>
    <x v="2"/>
    <x v="0"/>
    <x v="5"/>
    <x v="24"/>
  </r>
  <r>
    <x v="167"/>
    <x v="157"/>
    <x v="1"/>
    <n v="34"/>
    <x v="5"/>
    <s v="Customer Lifecycle Manager"/>
    <s v="Master"/>
    <n v="11"/>
    <n v="80000"/>
    <x v="1"/>
    <x v="0"/>
    <x v="3"/>
    <x v="7"/>
  </r>
  <r>
    <x v="168"/>
    <x v="158"/>
    <x v="0"/>
    <n v="31"/>
    <x v="0"/>
    <s v="Platform Engineer"/>
    <s v="Master"/>
    <n v="8"/>
    <n v="76000"/>
    <x v="1"/>
    <x v="0"/>
    <x v="0"/>
    <x v="5"/>
  </r>
  <r>
    <x v="169"/>
    <x v="159"/>
    <x v="1"/>
    <n v="27"/>
    <x v="1"/>
    <s v="HR Reporting Analyst"/>
    <s v="Master"/>
    <n v="4"/>
    <n v="48000"/>
    <x v="0"/>
    <x v="1"/>
    <x v="2"/>
    <x v="11"/>
  </r>
  <r>
    <x v="170"/>
    <x v="26"/>
    <x v="0"/>
    <n v="43"/>
    <x v="2"/>
    <s v="Financial Risk Head"/>
    <s v="MBA"/>
    <n v="18"/>
    <n v="108000"/>
    <x v="2"/>
    <x v="0"/>
    <x v="4"/>
    <x v="17"/>
  </r>
  <r>
    <x v="171"/>
    <x v="160"/>
    <x v="1"/>
    <n v="30"/>
    <x v="4"/>
    <s v="Channel Sales Executive"/>
    <s v="Bachelor"/>
    <n v="7"/>
    <n v="58000"/>
    <x v="0"/>
    <x v="0"/>
    <x v="5"/>
    <x v="10"/>
  </r>
  <r>
    <x v="172"/>
    <x v="161"/>
    <x v="0"/>
    <n v="50"/>
    <x v="3"/>
    <s v="Director of Operations"/>
    <s v="MBA"/>
    <n v="26"/>
    <n v="168000"/>
    <x v="2"/>
    <x v="0"/>
    <x v="1"/>
    <x v="26"/>
  </r>
  <r>
    <x v="173"/>
    <x v="162"/>
    <x v="1"/>
    <n v="24"/>
    <x v="5"/>
    <s v="Marketing Research Intern"/>
    <s v="Bachelor"/>
    <n v="1"/>
    <n v="23000"/>
    <x v="3"/>
    <x v="1"/>
    <x v="0"/>
    <x v="8"/>
  </r>
  <r>
    <x v="174"/>
    <x v="22"/>
    <x v="0"/>
    <n v="38"/>
    <x v="0"/>
    <s v="Enterprise Systems Lead"/>
    <s v="Master"/>
    <n v="15"/>
    <n v="98000"/>
    <x v="1"/>
    <x v="0"/>
    <x v="3"/>
    <x v="14"/>
  </r>
  <r>
    <x v="175"/>
    <x v="23"/>
    <x v="1"/>
    <n v="41"/>
    <x v="1"/>
    <s v="HR Employee Relations Head"/>
    <s v="MBA"/>
    <n v="17"/>
    <n v="104000"/>
    <x v="2"/>
    <x v="0"/>
    <x v="2"/>
    <x v="15"/>
  </r>
  <r>
    <x v="176"/>
    <x v="116"/>
    <x v="0"/>
    <n v="34"/>
    <x v="2"/>
    <s v="Finance Transformation Manager"/>
    <s v="MBA"/>
    <n v="11"/>
    <n v="90000"/>
    <x v="1"/>
    <x v="0"/>
    <x v="4"/>
    <x v="7"/>
  </r>
  <r>
    <x v="177"/>
    <x v="25"/>
    <x v="1"/>
    <n v="28"/>
    <x v="4"/>
    <s v="Sales Operations Analyst"/>
    <s v="Master"/>
    <n v="5"/>
    <n v="62000"/>
    <x v="0"/>
    <x v="1"/>
    <x v="5"/>
    <x v="6"/>
  </r>
  <r>
    <x v="178"/>
    <x v="163"/>
    <x v="0"/>
    <n v="46"/>
    <x v="5"/>
    <s v="Chief Marketing Officer"/>
    <s v="MBA"/>
    <n v="22"/>
    <n v="160000"/>
    <x v="2"/>
    <x v="0"/>
    <x v="0"/>
    <x v="22"/>
  </r>
  <r>
    <x v="179"/>
    <x v="164"/>
    <x v="1"/>
    <n v="32"/>
    <x v="1"/>
    <s v="HR Business Intelligence Analyst"/>
    <s v="Master"/>
    <n v="9"/>
    <n v="72000"/>
    <x v="1"/>
    <x v="0"/>
    <x v="1"/>
    <x v="13"/>
  </r>
  <r>
    <x v="180"/>
    <x v="165"/>
    <x v="0"/>
    <n v="26"/>
    <x v="0"/>
    <s v="Associate Cloud Engineer"/>
    <s v="Bachelor"/>
    <n v="3"/>
    <n v="46000"/>
    <x v="0"/>
    <x v="1"/>
    <x v="3"/>
    <x v="0"/>
  </r>
  <r>
    <x v="181"/>
    <x v="166"/>
    <x v="1"/>
    <n v="44"/>
    <x v="2"/>
    <s v="Financial Planning Director"/>
    <s v="MBA"/>
    <n v="19"/>
    <n v="120000"/>
    <x v="2"/>
    <x v="0"/>
    <x v="2"/>
    <x v="19"/>
  </r>
  <r>
    <x v="182"/>
    <x v="66"/>
    <x v="0"/>
    <n v="35"/>
    <x v="3"/>
    <s v="Operations Cost Manager"/>
    <s v="MBA"/>
    <n v="12"/>
    <n v="86000"/>
    <x v="1"/>
    <x v="0"/>
    <x v="0"/>
    <x v="16"/>
  </r>
  <r>
    <x v="183"/>
    <x v="167"/>
    <x v="1"/>
    <n v="29"/>
    <x v="5"/>
    <s v="Performance Marketing Executive"/>
    <s v="Bachelor"/>
    <n v="6"/>
    <n v="56000"/>
    <x v="0"/>
    <x v="1"/>
    <x v="4"/>
    <x v="1"/>
  </r>
  <r>
    <x v="184"/>
    <x v="36"/>
    <x v="0"/>
    <n v="41"/>
    <x v="4"/>
    <s v="Regional Sales Head"/>
    <s v="MBA"/>
    <n v="17"/>
    <n v="112000"/>
    <x v="2"/>
    <x v="0"/>
    <x v="1"/>
    <x v="15"/>
  </r>
  <r>
    <x v="185"/>
    <x v="168"/>
    <x v="1"/>
    <n v="37"/>
    <x v="1"/>
    <s v="HR Rewards Manager"/>
    <s v="MBA"/>
    <n v="14"/>
    <n v="92000"/>
    <x v="1"/>
    <x v="0"/>
    <x v="5"/>
    <x v="9"/>
  </r>
  <r>
    <x v="186"/>
    <x v="122"/>
    <x v="0"/>
    <n v="33"/>
    <x v="2"/>
    <s v="Finance Automation Lead"/>
    <s v="Master"/>
    <n v="10"/>
    <n v="82000"/>
    <x v="1"/>
    <x v="0"/>
    <x v="0"/>
    <x v="2"/>
  </r>
  <r>
    <x v="187"/>
    <x v="169"/>
    <x v="1"/>
    <n v="24"/>
    <x v="5"/>
    <s v="Marketing Operations Intern"/>
    <s v="Bachelor"/>
    <n v="1"/>
    <n v="22000"/>
    <x v="3"/>
    <x v="1"/>
    <x v="3"/>
    <x v="8"/>
  </r>
  <r>
    <x v="188"/>
    <x v="170"/>
    <x v="0"/>
    <n v="49"/>
    <x v="3"/>
    <s v="Manufacturing Strategy Head"/>
    <s v="MBA"/>
    <n v="25"/>
    <n v="162000"/>
    <x v="2"/>
    <x v="0"/>
    <x v="2"/>
    <x v="23"/>
  </r>
  <r>
    <x v="189"/>
    <x v="171"/>
    <x v="1"/>
    <n v="31"/>
    <x v="1"/>
    <s v="HR Digital Transformation Lead"/>
    <s v="MBA"/>
    <n v="8"/>
    <n v="78000"/>
    <x v="1"/>
    <x v="0"/>
    <x v="4"/>
    <x v="5"/>
  </r>
  <r>
    <x v="190"/>
    <x v="172"/>
    <x v="0"/>
    <n v="28"/>
    <x v="0"/>
    <s v="Associate DevOps Engineer"/>
    <s v="Bachelor"/>
    <n v="5"/>
    <n v="58000"/>
    <x v="0"/>
    <x v="0"/>
    <x v="5"/>
    <x v="6"/>
  </r>
  <r>
    <x v="191"/>
    <x v="173"/>
    <x v="1"/>
    <n v="43"/>
    <x v="2"/>
    <s v="Corporate Treasury Head"/>
    <s v="MBA"/>
    <n v="20"/>
    <n v="130000"/>
    <x v="2"/>
    <x v="0"/>
    <x v="1"/>
    <x v="21"/>
  </r>
  <r>
    <x v="192"/>
    <x v="174"/>
    <x v="0"/>
    <n v="36"/>
    <x v="4"/>
    <s v="Sales Forecasting Manager"/>
    <s v="MBA"/>
    <n v="13"/>
    <n v="90000"/>
    <x v="1"/>
    <x v="0"/>
    <x v="0"/>
    <x v="18"/>
  </r>
  <r>
    <x v="193"/>
    <x v="175"/>
    <x v="1"/>
    <n v="34"/>
    <x v="5"/>
    <s v="Marketing Operations Manager"/>
    <s v="MBA"/>
    <n v="11"/>
    <n v="82000"/>
    <x v="1"/>
    <x v="0"/>
    <x v="2"/>
    <x v="7"/>
  </r>
  <r>
    <x v="194"/>
    <x v="176"/>
    <x v="0"/>
    <n v="47"/>
    <x v="3"/>
    <s v="Plant Operations Head"/>
    <s v="MBA"/>
    <n v="23"/>
    <n v="148000"/>
    <x v="2"/>
    <x v="0"/>
    <x v="3"/>
    <x v="22"/>
  </r>
  <r>
    <x v="195"/>
    <x v="65"/>
    <x v="1"/>
    <n v="27"/>
    <x v="1"/>
    <s v="HR Policy Analyst"/>
    <s v="Master"/>
    <n v="4"/>
    <n v="50000"/>
    <x v="0"/>
    <x v="1"/>
    <x v="4"/>
    <x v="11"/>
  </r>
  <r>
    <x v="196"/>
    <x v="118"/>
    <x v="0"/>
    <n v="32"/>
    <x v="2"/>
    <s v="Management Reporting Analyst"/>
    <s v="Master"/>
    <n v="9"/>
    <n v="72000"/>
    <x v="1"/>
    <x v="0"/>
    <x v="5"/>
    <x v="13"/>
  </r>
  <r>
    <x v="197"/>
    <x v="177"/>
    <x v="1"/>
    <n v="25"/>
    <x v="4"/>
    <s v="Sales Trainee"/>
    <s v="Bachelor"/>
    <n v="2"/>
    <n v="30000"/>
    <x v="3"/>
    <x v="1"/>
    <x v="0"/>
    <x v="3"/>
  </r>
  <r>
    <x v="198"/>
    <x v="178"/>
    <x v="0"/>
    <n v="40"/>
    <x v="0"/>
    <s v="IT Governance Manager"/>
    <s v="MBA"/>
    <n v="17"/>
    <n v="102000"/>
    <x v="2"/>
    <x v="0"/>
    <x v="1"/>
    <x v="4"/>
  </r>
  <r>
    <x v="199"/>
    <x v="179"/>
    <x v="1"/>
    <n v="35"/>
    <x v="5"/>
    <s v="Regional Campaign Manager"/>
    <s v="MBA"/>
    <n v="12"/>
    <n v="86000"/>
    <x v="1"/>
    <x v="0"/>
    <x v="2"/>
    <x v="16"/>
  </r>
  <r>
    <x v="200"/>
    <x v="180"/>
    <x v="1"/>
    <n v="28"/>
    <x v="1"/>
    <s v="HR Onboarding Executive"/>
    <s v="Bachelor"/>
    <n v="5"/>
    <n v="48000"/>
    <x v="0"/>
    <x v="1"/>
    <x v="0"/>
    <x v="6"/>
  </r>
  <r>
    <x v="201"/>
    <x v="181"/>
    <x v="0"/>
    <n v="34"/>
    <x v="0"/>
    <s v="Site Reliability Engineer"/>
    <s v="Master"/>
    <n v="11"/>
    <n v="88000"/>
    <x v="1"/>
    <x v="0"/>
    <x v="3"/>
    <x v="7"/>
  </r>
  <r>
    <x v="202"/>
    <x v="182"/>
    <x v="1"/>
    <n v="42"/>
    <x v="2"/>
    <s v="Finance Operations Head"/>
    <s v="MBA"/>
    <n v="18"/>
    <n v="110000"/>
    <x v="2"/>
    <x v="0"/>
    <x v="2"/>
    <x v="17"/>
  </r>
  <r>
    <x v="203"/>
    <x v="183"/>
    <x v="0"/>
    <n v="27"/>
    <x v="4"/>
    <s v="Inside Sales Representative"/>
    <s v="Bachelor"/>
    <n v="4"/>
    <n v="42000"/>
    <x v="0"/>
    <x v="1"/>
    <x v="5"/>
    <x v="11"/>
  </r>
  <r>
    <x v="204"/>
    <x v="184"/>
    <x v="1"/>
    <n v="36"/>
    <x v="5"/>
    <s v="Customer Marketing Manager"/>
    <s v="MBA"/>
    <n v="13"/>
    <n v="82000"/>
    <x v="1"/>
    <x v="0"/>
    <x v="4"/>
    <x v="18"/>
  </r>
  <r>
    <x v="205"/>
    <x v="96"/>
    <x v="0"/>
    <n v="49"/>
    <x v="3"/>
    <s v="Operations Excellence Director"/>
    <s v="MBA"/>
    <n v="25"/>
    <n v="158000"/>
    <x v="2"/>
    <x v="0"/>
    <x v="1"/>
    <x v="23"/>
  </r>
  <r>
    <x v="206"/>
    <x v="185"/>
    <x v="0"/>
    <n v="31"/>
    <x v="0"/>
    <s v="Data Platform Engineer"/>
    <s v="Master"/>
    <n v="8"/>
    <n v="78000"/>
    <x v="1"/>
    <x v="0"/>
    <x v="0"/>
    <x v="5"/>
  </r>
  <r>
    <x v="207"/>
    <x v="186"/>
    <x v="1"/>
    <n v="26"/>
    <x v="1"/>
    <s v="HR Compliance Executive"/>
    <s v="Bachelor"/>
    <n v="3"/>
    <n v="39000"/>
    <x v="0"/>
    <x v="1"/>
    <x v="3"/>
    <x v="0"/>
  </r>
  <r>
    <x v="208"/>
    <x v="187"/>
    <x v="0"/>
    <n v="38"/>
    <x v="2"/>
    <s v="Derivatives Analyst"/>
    <s v="Master"/>
    <n v="15"/>
    <n v="94000"/>
    <x v="1"/>
    <x v="0"/>
    <x v="4"/>
    <x v="14"/>
  </r>
  <r>
    <x v="209"/>
    <x v="188"/>
    <x v="1"/>
    <n v="33"/>
    <x v="4"/>
    <s v="Customer Success Manager"/>
    <s v="MBA"/>
    <n v="10"/>
    <n v="76000"/>
    <x v="1"/>
    <x v="0"/>
    <x v="0"/>
    <x v="2"/>
  </r>
  <r>
    <x v="210"/>
    <x v="189"/>
    <x v="0"/>
    <n v="45"/>
    <x v="5"/>
    <s v="Brand Strategy Director"/>
    <s v="MBA"/>
    <n v="21"/>
    <n v="132000"/>
    <x v="2"/>
    <x v="0"/>
    <x v="2"/>
    <x v="20"/>
  </r>
  <r>
    <x v="211"/>
    <x v="162"/>
    <x v="1"/>
    <n v="29"/>
    <x v="1"/>
    <s v="HR Engagement Executive"/>
    <s v="Master"/>
    <n v="6"/>
    <n v="52000"/>
    <x v="0"/>
    <x v="1"/>
    <x v="5"/>
    <x v="1"/>
  </r>
  <r>
    <x v="212"/>
    <x v="190"/>
    <x v="0"/>
    <n v="24"/>
    <x v="0"/>
    <s v="Associate QA Engineer"/>
    <s v="Bachelor"/>
    <n v="1"/>
    <n v="28000"/>
    <x v="3"/>
    <x v="1"/>
    <x v="3"/>
    <x v="8"/>
  </r>
  <r>
    <x v="213"/>
    <x v="191"/>
    <x v="1"/>
    <n v="40"/>
    <x v="2"/>
    <s v="Consolidation Manager"/>
    <s v="MBA"/>
    <n v="17"/>
    <n v="102000"/>
    <x v="2"/>
    <x v="0"/>
    <x v="1"/>
    <x v="15"/>
  </r>
  <r>
    <x v="214"/>
    <x v="192"/>
    <x v="0"/>
    <n v="35"/>
    <x v="3"/>
    <s v="Production Scheduling Manager"/>
    <s v="MBA"/>
    <n v="12"/>
    <n v="86000"/>
    <x v="1"/>
    <x v="0"/>
    <x v="0"/>
    <x v="16"/>
  </r>
  <r>
    <x v="215"/>
    <x v="193"/>
    <x v="1"/>
    <n v="27"/>
    <x v="5"/>
    <s v="Marketing Insights Analyst"/>
    <s v="Master"/>
    <n v="4"/>
    <n v="58000"/>
    <x v="0"/>
    <x v="1"/>
    <x v="4"/>
    <x v="11"/>
  </r>
  <r>
    <x v="216"/>
    <x v="60"/>
    <x v="0"/>
    <n v="41"/>
    <x v="0"/>
    <s v="IT Infrastructure Head"/>
    <s v="MBA"/>
    <n v="18"/>
    <n v="115000"/>
    <x v="2"/>
    <x v="0"/>
    <x v="2"/>
    <x v="19"/>
  </r>
  <r>
    <x v="217"/>
    <x v="194"/>
    <x v="1"/>
    <n v="34"/>
    <x v="1"/>
    <s v="HR Workforce Planning Analyst"/>
    <s v="Master"/>
    <n v="11"/>
    <n v="72000"/>
    <x v="1"/>
    <x v="0"/>
    <x v="5"/>
    <x v="7"/>
  </r>
  <r>
    <x v="218"/>
    <x v="195"/>
    <x v="0"/>
    <n v="30"/>
    <x v="4"/>
    <s v="Sales Data Analyst"/>
    <s v="Master"/>
    <n v="7"/>
    <n v="64000"/>
    <x v="1"/>
    <x v="0"/>
    <x v="0"/>
    <x v="10"/>
  </r>
  <r>
    <x v="219"/>
    <x v="115"/>
    <x v="1"/>
    <n v="48"/>
    <x v="2"/>
    <s v="Chief Finance Officer"/>
    <s v="MBA"/>
    <n v="24"/>
    <n v="185000"/>
    <x v="2"/>
    <x v="0"/>
    <x v="4"/>
    <x v="24"/>
  </r>
  <r>
    <x v="220"/>
    <x v="71"/>
    <x v="0"/>
    <n v="26"/>
    <x v="0"/>
    <s v="Associate Business Analyst"/>
    <s v="Bachelor"/>
    <n v="3"/>
    <n v="42000"/>
    <x v="0"/>
    <x v="1"/>
    <x v="3"/>
    <x v="0"/>
  </r>
  <r>
    <x v="221"/>
    <x v="125"/>
    <x v="1"/>
    <n v="37"/>
    <x v="3"/>
    <s v="Operations Risk Manager"/>
    <s v="MBA"/>
    <n v="14"/>
    <n v="90000"/>
    <x v="1"/>
    <x v="0"/>
    <x v="1"/>
    <x v="9"/>
  </r>
  <r>
    <x v="222"/>
    <x v="196"/>
    <x v="0"/>
    <n v="32"/>
    <x v="5"/>
    <s v="Digital Growth Manager"/>
    <s v="MBA"/>
    <n v="9"/>
    <n v="76000"/>
    <x v="1"/>
    <x v="0"/>
    <x v="0"/>
    <x v="13"/>
  </r>
  <r>
    <x v="223"/>
    <x v="197"/>
    <x v="1"/>
    <n v="44"/>
    <x v="1"/>
    <s v="HR Strategy Director"/>
    <s v="MBA"/>
    <n v="20"/>
    <n v="120000"/>
    <x v="2"/>
    <x v="0"/>
    <x v="2"/>
    <x v="12"/>
  </r>
  <r>
    <x v="224"/>
    <x v="106"/>
    <x v="0"/>
    <n v="29"/>
    <x v="2"/>
    <s v="Trade Finance Analyst"/>
    <s v="Bachelor"/>
    <n v="6"/>
    <n v="58000"/>
    <x v="0"/>
    <x v="1"/>
    <x v="5"/>
    <x v="1"/>
  </r>
  <r>
    <x v="225"/>
    <x v="198"/>
    <x v="1"/>
    <n v="25"/>
    <x v="4"/>
    <s v="Lead Qualification Executive"/>
    <s v="Bachelor"/>
    <n v="2"/>
    <n v="34000"/>
    <x v="0"/>
    <x v="1"/>
    <x v="4"/>
    <x v="3"/>
  </r>
  <r>
    <x v="226"/>
    <x v="199"/>
    <x v="0"/>
    <n v="39"/>
    <x v="0"/>
    <s v="Technology Risk Manager"/>
    <s v="MBA"/>
    <n v="16"/>
    <n v="98000"/>
    <x v="1"/>
    <x v="0"/>
    <x v="0"/>
    <x v="4"/>
  </r>
  <r>
    <x v="227"/>
    <x v="200"/>
    <x v="1"/>
    <n v="35"/>
    <x v="5"/>
    <s v="Marketing PMO Manager"/>
    <s v="MBA"/>
    <n v="12"/>
    <n v="84000"/>
    <x v="1"/>
    <x v="0"/>
    <x v="3"/>
    <x v="16"/>
  </r>
  <r>
    <x v="228"/>
    <x v="14"/>
    <x v="0"/>
    <n v="46"/>
    <x v="3"/>
    <s v="Operations Compliance Head"/>
    <s v="MBA"/>
    <n v="22"/>
    <n v="138000"/>
    <x v="2"/>
    <x v="0"/>
    <x v="1"/>
    <x v="20"/>
  </r>
  <r>
    <x v="229"/>
    <x v="41"/>
    <x v="1"/>
    <n v="31"/>
    <x v="1"/>
    <s v="HR Talent Analytics Lead"/>
    <s v="Master"/>
    <n v="8"/>
    <n v="70000"/>
    <x v="1"/>
    <x v="0"/>
    <x v="2"/>
    <x v="5"/>
  </r>
  <r>
    <x v="230"/>
    <x v="34"/>
    <x v="0"/>
    <n v="28"/>
    <x v="0"/>
    <s v="Associate Software Tester"/>
    <s v="Bachelor"/>
    <n v="5"/>
    <n v="50000"/>
    <x v="0"/>
    <x v="1"/>
    <x v="5"/>
    <x v="6"/>
  </r>
  <r>
    <x v="231"/>
    <x v="201"/>
    <x v="1"/>
    <n v="41"/>
    <x v="2"/>
    <s v="Indirect Tax Manager"/>
    <s v="MBA"/>
    <n v="18"/>
    <n v="108000"/>
    <x v="2"/>
    <x v="0"/>
    <x v="4"/>
    <x v="17"/>
  </r>
  <r>
    <x v="232"/>
    <x v="202"/>
    <x v="0"/>
    <n v="34"/>
    <x v="4"/>
    <s v="Sales Compensation Analyst"/>
    <s v="Master"/>
    <n v="11"/>
    <n v="72000"/>
    <x v="1"/>
    <x v="0"/>
    <x v="0"/>
    <x v="7"/>
  </r>
  <r>
    <x v="233"/>
    <x v="9"/>
    <x v="1"/>
    <n v="27"/>
    <x v="5"/>
    <s v="Content Marketing Analyst"/>
    <s v="Bachelor"/>
    <n v="4"/>
    <n v="48000"/>
    <x v="0"/>
    <x v="1"/>
    <x v="3"/>
    <x v="11"/>
  </r>
  <r>
    <x v="234"/>
    <x v="203"/>
    <x v="0"/>
    <n v="50"/>
    <x v="3"/>
    <s v="Chief Supply Chain Officer"/>
    <s v="MBA"/>
    <n v="26"/>
    <n v="172000"/>
    <x v="2"/>
    <x v="0"/>
    <x v="2"/>
    <x v="26"/>
  </r>
  <r>
    <x v="235"/>
    <x v="23"/>
    <x v="1"/>
    <n v="36"/>
    <x v="1"/>
    <s v="HR Change Management Lead"/>
    <s v="MBA"/>
    <n v="13"/>
    <n v="88000"/>
    <x v="1"/>
    <x v="0"/>
    <x v="1"/>
    <x v="18"/>
  </r>
  <r>
    <x v="236"/>
    <x v="130"/>
    <x v="0"/>
    <n v="31"/>
    <x v="0"/>
    <s v="Platform Support Engineer"/>
    <s v="Bachelor"/>
    <n v="8"/>
    <n v="62000"/>
    <x v="1"/>
    <x v="0"/>
    <x v="0"/>
    <x v="5"/>
  </r>
  <r>
    <x v="237"/>
    <x v="204"/>
    <x v="1"/>
    <n v="43"/>
    <x v="2"/>
    <s v="Financial Governance Head"/>
    <s v="MBA"/>
    <n v="19"/>
    <n v="118000"/>
    <x v="2"/>
    <x v="0"/>
    <x v="5"/>
    <x v="19"/>
  </r>
  <r>
    <x v="238"/>
    <x v="50"/>
    <x v="0"/>
    <n v="25"/>
    <x v="4"/>
    <s v="Sales Operations Trainee"/>
    <s v="Bachelor"/>
    <n v="2"/>
    <n v="32000"/>
    <x v="3"/>
    <x v="1"/>
    <x v="4"/>
    <x v="3"/>
  </r>
  <r>
    <x v="239"/>
    <x v="61"/>
    <x v="1"/>
    <n v="38"/>
    <x v="5"/>
    <s v="Marketing Transformation Lead"/>
    <s v="MBA"/>
    <n v="15"/>
    <n v="94000"/>
    <x v="1"/>
    <x v="0"/>
    <x v="2"/>
    <x v="14"/>
  </r>
  <r>
    <x v="240"/>
    <x v="205"/>
    <x v="0"/>
    <n v="45"/>
    <x v="0"/>
    <s v="IT Portfolio Director"/>
    <s v="MBA"/>
    <n v="21"/>
    <n v="148000"/>
    <x v="2"/>
    <x v="0"/>
    <x v="1"/>
    <x v="21"/>
  </r>
  <r>
    <x v="241"/>
    <x v="27"/>
    <x v="1"/>
    <n v="29"/>
    <x v="1"/>
    <s v="HR Employer Branding Specialist"/>
    <s v="Master"/>
    <n v="6"/>
    <n v="60000"/>
    <x v="1"/>
    <x v="0"/>
    <x v="0"/>
    <x v="1"/>
  </r>
  <r>
    <x v="242"/>
    <x v="206"/>
    <x v="0"/>
    <n v="33"/>
    <x v="2"/>
    <s v="Financial Modeling Lead"/>
    <s v="Master"/>
    <n v="10"/>
    <n v="82000"/>
    <x v="1"/>
    <x v="0"/>
    <x v="3"/>
    <x v="2"/>
  </r>
  <r>
    <x v="243"/>
    <x v="207"/>
    <x v="1"/>
    <n v="26"/>
    <x v="4"/>
    <s v="Sales Enablement Analyst"/>
    <s v="Bachelor"/>
    <n v="3"/>
    <n v="45000"/>
    <x v="0"/>
    <x v="1"/>
    <x v="5"/>
    <x v="0"/>
  </r>
  <r>
    <x v="244"/>
    <x v="26"/>
    <x v="0"/>
    <n v="41"/>
    <x v="3"/>
    <s v="Operational Analytics Head"/>
    <s v="MBA"/>
    <n v="18"/>
    <n v="112000"/>
    <x v="2"/>
    <x v="0"/>
    <x v="4"/>
    <x v="17"/>
  </r>
  <r>
    <x v="245"/>
    <x v="11"/>
    <x v="1"/>
    <n v="34"/>
    <x v="5"/>
    <s v="Marketing Analytics Manager"/>
    <s v="Master"/>
    <n v="11"/>
    <n v="82000"/>
    <x v="1"/>
    <x v="0"/>
    <x v="0"/>
    <x v="7"/>
  </r>
  <r>
    <x v="246"/>
    <x v="82"/>
    <x v="0"/>
    <n v="28"/>
    <x v="0"/>
    <s v="Associate Data Scientist"/>
    <s v="Master"/>
    <n v="5"/>
    <n v="66000"/>
    <x v="1"/>
    <x v="0"/>
    <x v="3"/>
    <x v="6"/>
  </r>
  <r>
    <x v="247"/>
    <x v="164"/>
    <x v="1"/>
    <n v="47"/>
    <x v="2"/>
    <s v="Financial Compliance Director"/>
    <s v="MBA"/>
    <n v="23"/>
    <n v="142000"/>
    <x v="2"/>
    <x v="0"/>
    <x v="2"/>
    <x v="22"/>
  </r>
  <r>
    <x v="248"/>
    <x v="134"/>
    <x v="0"/>
    <n v="36"/>
    <x v="4"/>
    <s v="Sales Strategy Consultant"/>
    <s v="MBA"/>
    <n v="13"/>
    <n v="88000"/>
    <x v="1"/>
    <x v="0"/>
    <x v="1"/>
    <x v="18"/>
  </r>
  <r>
    <x v="249"/>
    <x v="128"/>
    <x v="1"/>
    <n v="32"/>
    <x v="1"/>
    <s v="HR Service Delivery Manager"/>
    <s v="MBA"/>
    <n v="9"/>
    <n v="76000"/>
    <x v="1"/>
    <x v="0"/>
    <x v="4"/>
    <x v="13"/>
  </r>
  <r>
    <x v="250"/>
    <x v="52"/>
    <x v="0"/>
    <n v="52"/>
    <x v="3"/>
    <s v="Chief Operating Officer"/>
    <s v="MBA"/>
    <n v="28"/>
    <n v="195000"/>
    <x v="2"/>
    <x v="0"/>
    <x v="0"/>
    <x v="25"/>
  </r>
  <r>
    <x v="251"/>
    <x v="108"/>
    <x v="1"/>
    <n v="24"/>
    <x v="5"/>
    <s v="Marketing Graduate Trainee"/>
    <s v="Bachelor"/>
    <n v="1"/>
    <n v="26000"/>
    <x v="3"/>
    <x v="1"/>
    <x v="3"/>
    <x v="8"/>
  </r>
  <r>
    <x v="252"/>
    <x v="24"/>
    <x v="0"/>
    <n v="39"/>
    <x v="0"/>
    <s v="Technology Operations Manager"/>
    <s v="MBA"/>
    <n v="16"/>
    <n v="98000"/>
    <x v="1"/>
    <x v="0"/>
    <x v="2"/>
    <x v="4"/>
  </r>
  <r>
    <x v="253"/>
    <x v="208"/>
    <x v="1"/>
    <n v="35"/>
    <x v="2"/>
    <s v="Financial Systems Lead"/>
    <s v="MBA"/>
    <n v="12"/>
    <n v="90000"/>
    <x v="1"/>
    <x v="0"/>
    <x v="5"/>
    <x v="16"/>
  </r>
  <r>
    <x v="254"/>
    <x v="10"/>
    <x v="0"/>
    <n v="30"/>
    <x v="4"/>
    <s v="Revenue Operations Analyst"/>
    <s v="Master"/>
    <n v="7"/>
    <n v="64000"/>
    <x v="1"/>
    <x v="0"/>
    <x v="0"/>
    <x v="10"/>
  </r>
  <r>
    <x v="255"/>
    <x v="209"/>
    <x v="1"/>
    <n v="44"/>
    <x v="1"/>
    <s v="HR Audit Head"/>
    <s v="MBA"/>
    <n v="20"/>
    <n v="110000"/>
    <x v="2"/>
    <x v="0"/>
    <x v="1"/>
    <x v="12"/>
  </r>
  <r>
    <x v="256"/>
    <x v="210"/>
    <x v="0"/>
    <n v="27"/>
    <x v="0"/>
    <s v="Associate Automation Engineer"/>
    <s v="Bachelor"/>
    <n v="4"/>
    <n v="48000"/>
    <x v="0"/>
    <x v="1"/>
    <x v="3"/>
    <x v="11"/>
  </r>
  <r>
    <x v="257"/>
    <x v="211"/>
    <x v="1"/>
    <n v="40"/>
    <x v="5"/>
    <s v="Marketing Governance Manager"/>
    <s v="MBA"/>
    <n v="17"/>
    <n v="96000"/>
    <x v="1"/>
    <x v="0"/>
    <x v="4"/>
    <x v="15"/>
  </r>
  <r>
    <x v="258"/>
    <x v="36"/>
    <x v="0"/>
    <n v="46"/>
    <x v="3"/>
    <s v="Global Operations Head"/>
    <s v="MBA"/>
    <n v="22"/>
    <n v="158000"/>
    <x v="2"/>
    <x v="0"/>
    <x v="2"/>
    <x v="20"/>
  </r>
  <r>
    <x v="259"/>
    <x v="77"/>
    <x v="1"/>
    <n v="33"/>
    <x v="2"/>
    <s v="Finance Process Excellence Lead"/>
    <s v="MBA"/>
    <n v="10"/>
    <n v="82000"/>
    <x v="1"/>
    <x v="0"/>
    <x v="0"/>
    <x v="2"/>
  </r>
  <r>
    <x v="260"/>
    <x v="212"/>
    <x v="0"/>
    <n v="25"/>
    <x v="4"/>
    <s v="Sales Development Representative"/>
    <s v="Bachelor"/>
    <n v="2"/>
    <n v="36000"/>
    <x v="0"/>
    <x v="1"/>
    <x v="5"/>
    <x v="3"/>
  </r>
  <r>
    <x v="261"/>
    <x v="213"/>
    <x v="1"/>
    <n v="38"/>
    <x v="1"/>
    <s v="HR Organizational Development Lead"/>
    <s v="MBA"/>
    <n v="15"/>
    <n v="94000"/>
    <x v="1"/>
    <x v="0"/>
    <x v="3"/>
    <x v="14"/>
  </r>
  <r>
    <x v="262"/>
    <x v="4"/>
    <x v="0"/>
    <n v="42"/>
    <x v="0"/>
    <s v="Enterprise Technology Director"/>
    <s v="MBA"/>
    <n v="19"/>
    <n v="138000"/>
    <x v="2"/>
    <x v="0"/>
    <x v="1"/>
    <x v="19"/>
  </r>
  <r>
    <x v="263"/>
    <x v="214"/>
    <x v="1"/>
    <n v="29"/>
    <x v="5"/>
    <s v="Marketing Program Coordinator"/>
    <s v="Bachelor"/>
    <n v="6"/>
    <n v="54000"/>
    <x v="0"/>
    <x v="1"/>
    <x v="4"/>
    <x v="1"/>
  </r>
  <r>
    <x v="264"/>
    <x v="74"/>
    <x v="0"/>
    <n v="50"/>
    <x v="3"/>
    <s v="Industrial Operations Director"/>
    <s v="MBA"/>
    <n v="26"/>
    <n v="168000"/>
    <x v="2"/>
    <x v="0"/>
    <x v="0"/>
    <x v="26"/>
  </r>
  <r>
    <x v="265"/>
    <x v="11"/>
    <x v="1"/>
    <n v="34"/>
    <x v="2"/>
    <s v="Finance Digital Transformation Lead"/>
    <s v="MBA"/>
    <n v="11"/>
    <n v="86000"/>
    <x v="1"/>
    <x v="0"/>
    <x v="2"/>
    <x v="7"/>
  </r>
  <r>
    <x v="266"/>
    <x v="215"/>
    <x v="0"/>
    <n v="31"/>
    <x v="0"/>
    <s v="Product Support Lead"/>
    <s v="Bachelor"/>
    <n v="8"/>
    <n v="70000"/>
    <x v="1"/>
    <x v="0"/>
    <x v="5"/>
    <x v="5"/>
  </r>
  <r>
    <x v="267"/>
    <x v="23"/>
    <x v="1"/>
    <n v="45"/>
    <x v="1"/>
    <s v="HR Governance Director"/>
    <s v="MBA"/>
    <n v="21"/>
    <n v="125000"/>
    <x v="2"/>
    <x v="0"/>
    <x v="1"/>
    <x v="21"/>
  </r>
  <r>
    <x v="268"/>
    <x v="216"/>
    <x v="0"/>
    <n v="28"/>
    <x v="4"/>
    <s v="Account Planning Analyst"/>
    <s v="Master"/>
    <n v="5"/>
    <n v="60000"/>
    <x v="0"/>
    <x v="1"/>
    <x v="3"/>
    <x v="6"/>
  </r>
  <r>
    <x v="269"/>
    <x v="97"/>
    <x v="1"/>
    <n v="37"/>
    <x v="5"/>
    <s v="Marketing Excellence Manager"/>
    <s v="MBA"/>
    <n v="14"/>
    <n v="88000"/>
    <x v="1"/>
    <x v="0"/>
    <x v="0"/>
    <x v="9"/>
  </r>
  <r>
    <x v="270"/>
    <x v="217"/>
    <x v="0"/>
    <n v="48"/>
    <x v="3"/>
    <s v="Manufacturing Systems Head"/>
    <s v="MBA"/>
    <n v="24"/>
    <n v="152000"/>
    <x v="2"/>
    <x v="0"/>
    <x v="2"/>
    <x v="27"/>
  </r>
  <r>
    <x v="271"/>
    <x v="7"/>
    <x v="1"/>
    <n v="26"/>
    <x v="1"/>
    <s v="HR Digital Content Executive"/>
    <s v="Bachelor"/>
    <n v="3"/>
    <n v="40000"/>
    <x v="0"/>
    <x v="1"/>
    <x v="4"/>
    <x v="0"/>
  </r>
  <r>
    <x v="272"/>
    <x v="78"/>
    <x v="0"/>
    <n v="35"/>
    <x v="2"/>
    <s v="Finance Shared Services Manager"/>
    <s v="MBA"/>
    <n v="12"/>
    <n v="90000"/>
    <x v="1"/>
    <x v="0"/>
    <x v="5"/>
    <x v="16"/>
  </r>
  <r>
    <x v="273"/>
    <x v="218"/>
    <x v="1"/>
    <n v="31"/>
    <x v="4"/>
    <s v="Sales Process Improvement Lead"/>
    <s v="MBA"/>
    <n v="8"/>
    <n v="72000"/>
    <x v="1"/>
    <x v="0"/>
    <x v="0"/>
    <x v="5"/>
  </r>
  <r>
    <x v="274"/>
    <x v="219"/>
    <x v="0"/>
    <n v="43"/>
    <x v="0"/>
    <s v="IT Quality Assurance Director"/>
    <s v="MBA"/>
    <n v="19"/>
    <n v="128000"/>
    <x v="2"/>
    <x v="0"/>
    <x v="1"/>
    <x v="19"/>
  </r>
  <r>
    <x v="275"/>
    <x v="220"/>
    <x v="1"/>
    <n v="39"/>
    <x v="5"/>
    <s v="Marketing Risk Manager"/>
    <s v="MBA"/>
    <n v="16"/>
    <n v="92000"/>
    <x v="1"/>
    <x v="0"/>
    <x v="2"/>
    <x v="4"/>
  </r>
  <r>
    <x v="276"/>
    <x v="56"/>
    <x v="0"/>
    <n v="29"/>
    <x v="3"/>
    <s v="Operations Analytics Analyst"/>
    <s v="Master"/>
    <n v="6"/>
    <n v="62000"/>
    <x v="1"/>
    <x v="0"/>
    <x v="3"/>
    <x v="1"/>
  </r>
  <r>
    <x v="277"/>
    <x v="221"/>
    <x v="1"/>
    <n v="25"/>
    <x v="1"/>
    <s v="HR Reporting Executive"/>
    <s v="Bachelor"/>
    <n v="2"/>
    <n v="35000"/>
    <x v="0"/>
    <x v="1"/>
    <x v="5"/>
    <x v="3"/>
  </r>
  <r>
    <x v="278"/>
    <x v="222"/>
    <x v="0"/>
    <n v="34"/>
    <x v="4"/>
    <s v="Commercial Sales Manager"/>
    <s v="MBA"/>
    <n v="11"/>
    <n v="84000"/>
    <x v="1"/>
    <x v="0"/>
    <x v="4"/>
    <x v="7"/>
  </r>
  <r>
    <x v="279"/>
    <x v="223"/>
    <x v="1"/>
    <n v="47"/>
    <x v="2"/>
    <s v="Finance Risk &amp; Controls Director"/>
    <s v="MBA"/>
    <n v="23"/>
    <n v="145000"/>
    <x v="2"/>
    <x v="0"/>
    <x v="0"/>
    <x v="22"/>
  </r>
  <r>
    <x v="280"/>
    <x v="111"/>
    <x v="0"/>
    <n v="41"/>
    <x v="0"/>
    <s v="IT Vendor Management Head"/>
    <s v="MBA"/>
    <n v="18"/>
    <n v="115000"/>
    <x v="2"/>
    <x v="0"/>
    <x v="1"/>
    <x v="17"/>
  </r>
  <r>
    <x v="281"/>
    <x v="123"/>
    <x v="1"/>
    <n v="28"/>
    <x v="5"/>
    <s v="Campaign Planning Analyst"/>
    <s v="Master"/>
    <n v="5"/>
    <n v="60000"/>
    <x v="0"/>
    <x v="1"/>
    <x v="3"/>
    <x v="6"/>
  </r>
  <r>
    <x v="282"/>
    <x v="14"/>
    <x v="0"/>
    <n v="52"/>
    <x v="3"/>
    <s v="Chief Process Officer"/>
    <s v="MBA"/>
    <n v="28"/>
    <n v="182000"/>
    <x v="2"/>
    <x v="0"/>
    <x v="2"/>
    <x v="25"/>
  </r>
  <r>
    <x v="283"/>
    <x v="224"/>
    <x v="1"/>
    <n v="33"/>
    <x v="1"/>
    <s v="HR Experience Design Lead"/>
    <s v="Master"/>
    <n v="10"/>
    <n v="76000"/>
    <x v="1"/>
    <x v="0"/>
    <x v="4"/>
    <x v="2"/>
  </r>
  <r>
    <x v="284"/>
    <x v="68"/>
    <x v="0"/>
    <n v="36"/>
    <x v="2"/>
    <s v="Financial Data Science Lead"/>
    <s v="Master"/>
    <n v="13"/>
    <n v="94000"/>
    <x v="1"/>
    <x v="0"/>
    <x v="0"/>
    <x v="18"/>
  </r>
  <r>
    <x v="285"/>
    <x v="225"/>
    <x v="1"/>
    <n v="24"/>
    <x v="4"/>
    <s v="Sales Graduate Trainee"/>
    <s v="Bachelor"/>
    <n v="1"/>
    <n v="26000"/>
    <x v="3"/>
    <x v="1"/>
    <x v="5"/>
    <x v="8"/>
  </r>
  <r>
    <x v="286"/>
    <x v="40"/>
    <x v="0"/>
    <n v="45"/>
    <x v="0"/>
    <s v="IT Transformation Program Director"/>
    <s v="MBA"/>
    <n v="22"/>
    <n v="158000"/>
    <x v="2"/>
    <x v="0"/>
    <x v="1"/>
    <x v="20"/>
  </r>
  <r>
    <x v="287"/>
    <x v="90"/>
    <x v="1"/>
    <n v="38"/>
    <x v="5"/>
    <s v="Marketing Operations Governance Lead"/>
    <s v="MBA"/>
    <n v="15"/>
    <n v="90000"/>
    <x v="1"/>
    <x v="0"/>
    <x v="2"/>
    <x v="14"/>
  </r>
  <r>
    <x v="288"/>
    <x v="60"/>
    <x v="0"/>
    <n v="30"/>
    <x v="3"/>
    <s v="Operations Digitization Lead"/>
    <s v="Master"/>
    <n v="7"/>
    <n v="74000"/>
    <x v="1"/>
    <x v="0"/>
    <x v="3"/>
    <x v="10"/>
  </r>
  <r>
    <x v="289"/>
    <x v="95"/>
    <x v="1"/>
    <n v="27"/>
    <x v="1"/>
    <s v="HR Mobility Executive"/>
    <s v="Bachelor"/>
    <n v="4"/>
    <n v="46000"/>
    <x v="0"/>
    <x v="1"/>
    <x v="0"/>
    <x v="11"/>
  </r>
  <r>
    <x v="290"/>
    <x v="20"/>
    <x v="0"/>
    <n v="49"/>
    <x v="2"/>
    <s v="Enterprise Finance Director"/>
    <s v="MBA"/>
    <n v="25"/>
    <n v="165000"/>
    <x v="2"/>
    <x v="0"/>
    <x v="4"/>
    <x v="23"/>
  </r>
  <r>
    <x v="291"/>
    <x v="17"/>
    <x v="1"/>
    <n v="35"/>
    <x v="4"/>
    <s v="Sales Excellence Manager"/>
    <s v="MBA"/>
    <n v="12"/>
    <n v="86000"/>
    <x v="1"/>
    <x v="0"/>
    <x v="5"/>
    <x v="16"/>
  </r>
  <r>
    <x v="292"/>
    <x v="226"/>
    <x v="0"/>
    <n v="42"/>
    <x v="0"/>
    <s v="IT Service Delivery Head"/>
    <s v="MBA"/>
    <n v="19"/>
    <n v="120000"/>
    <x v="2"/>
    <x v="0"/>
    <x v="2"/>
    <x v="19"/>
  </r>
  <r>
    <x v="293"/>
    <x v="227"/>
    <x v="1"/>
    <n v="29"/>
    <x v="5"/>
    <s v="Marketing Attribution Analyst"/>
    <s v="Master"/>
    <n v="6"/>
    <n v="64000"/>
    <x v="1"/>
    <x v="0"/>
    <x v="3"/>
    <x v="1"/>
  </r>
  <r>
    <x v="294"/>
    <x v="70"/>
    <x v="0"/>
    <n v="51"/>
    <x v="3"/>
    <s v="Global Manufacturing Director"/>
    <s v="MBA"/>
    <n v="27"/>
    <n v="178000"/>
    <x v="2"/>
    <x v="0"/>
    <x v="0"/>
    <x v="28"/>
  </r>
  <r>
    <x v="295"/>
    <x v="5"/>
    <x v="1"/>
    <n v="34"/>
    <x v="1"/>
    <s v="HR Strategic Planning Manager"/>
    <s v="MBA"/>
    <n v="11"/>
    <n v="82000"/>
    <x v="1"/>
    <x v="0"/>
    <x v="1"/>
    <x v="7"/>
  </r>
  <r>
    <x v="296"/>
    <x v="228"/>
    <x v="1"/>
    <n v="26"/>
    <x v="2"/>
    <s v="Finance Graduate Trainee"/>
    <s v="Bachelor"/>
    <n v="1"/>
    <n v="28000"/>
    <x v="3"/>
    <x v="1"/>
    <x v="5"/>
    <x v="8"/>
  </r>
  <r>
    <x v="297"/>
    <x v="229"/>
    <x v="0"/>
    <n v="39"/>
    <x v="4"/>
    <s v="Sales Transformation Lead"/>
    <s v="MBA"/>
    <n v="16"/>
    <n v="98000"/>
    <x v="1"/>
    <x v="0"/>
    <x v="4"/>
    <x v="4"/>
  </r>
  <r>
    <x v="298"/>
    <x v="230"/>
    <x v="0"/>
    <n v="47"/>
    <x v="0"/>
    <s v="Chief Information Officer"/>
    <s v="MBA"/>
    <n v="23"/>
    <n v="190000"/>
    <x v="2"/>
    <x v="0"/>
    <x v="2"/>
    <x v="22"/>
  </r>
  <r>
    <x v="299"/>
    <x v="231"/>
    <x v="1"/>
    <n v="41"/>
    <x v="1"/>
    <s v="Global HR Director"/>
    <s v="MBA"/>
    <n v="18"/>
    <n v="135000"/>
    <x v="2"/>
    <x v="0"/>
    <x v="0"/>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CD8DF5-8492-47CD-A991-8CBC10BC0501}" name="kpi4_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G26:AJ32" firstHeaderRow="1" firstDataRow="2"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axis="axisCol" dataField="1" showAll="0">
      <items count="3">
        <item x="1"/>
        <item x="0"/>
        <item t="default"/>
      </items>
    </pivotField>
    <pivotField showAll="0"/>
    <pivotField showAll="0">
      <items count="7">
        <item x="2"/>
        <item x="1"/>
        <item x="0"/>
        <item x="5"/>
        <item x="3"/>
        <item x="4"/>
        <item t="default"/>
      </items>
    </pivotField>
    <pivotField showAll="0"/>
    <pivotField showAll="0"/>
    <pivotField showAll="0"/>
    <pivotField numFmtId="164" showAll="0"/>
    <pivotField axis="axisRow" showAll="0">
      <items count="5">
        <item x="3"/>
        <item x="0"/>
        <item x="1"/>
        <item x="2"/>
        <item t="default"/>
      </items>
    </pivotField>
    <pivotField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9"/>
  </rowFields>
  <rowItems count="5">
    <i>
      <x/>
    </i>
    <i>
      <x v="1"/>
    </i>
    <i>
      <x v="2"/>
    </i>
    <i>
      <x v="3"/>
    </i>
    <i t="grand">
      <x/>
    </i>
  </rowItems>
  <colFields count="1">
    <field x="2"/>
  </colFields>
  <colItems count="3">
    <i>
      <x/>
    </i>
    <i>
      <x v="1"/>
    </i>
    <i t="grand">
      <x/>
    </i>
  </colItems>
  <dataFields count="1">
    <dataField name="Count of Gender" fld="2"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3D3B13-2BD2-4043-9D4E-BD5946F04D0F}" name="KPI_div"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7:C20" firstHeaderRow="1" firstDataRow="1"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axis="axisRow" dataField="1" showAll="0">
      <items count="3">
        <item x="1"/>
        <item x="0"/>
        <item t="default"/>
      </items>
    </pivotField>
    <pivotField showAll="0"/>
    <pivotField showAll="0">
      <items count="7">
        <item x="2"/>
        <item x="1"/>
        <item x="0"/>
        <item x="5"/>
        <item x="3"/>
        <item x="4"/>
        <item t="default"/>
      </items>
    </pivotField>
    <pivotField showAll="0"/>
    <pivotField showAll="0"/>
    <pivotField showAll="0"/>
    <pivotField numFmtId="164" showAll="0"/>
    <pivotField showAll="0"/>
    <pivotField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2"/>
  </rowFields>
  <rowItems count="3">
    <i>
      <x/>
    </i>
    <i>
      <x v="1"/>
    </i>
    <i t="grand">
      <x/>
    </i>
  </rowItems>
  <colItems count="1">
    <i/>
  </colItems>
  <dataFields count="1">
    <dataField name="Gender %" fld="2" subtotal="count" showDataAs="percentOfTotal" baseField="2" baseItem="0" numFmtId="9"/>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D14B0B-17DE-47A4-9322-5DF8EFA43BBC}" name="kpi4_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P5:AQ12" firstHeaderRow="1" firstDataRow="1"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showAll="0">
      <items count="7">
        <item x="2"/>
        <item x="1"/>
        <item x="0"/>
        <item x="5"/>
        <item x="3"/>
        <item x="4"/>
        <item t="default"/>
      </items>
    </pivotField>
    <pivotField showAll="0"/>
    <pivotField showAll="0"/>
    <pivotField showAll="0"/>
    <pivotField numFmtId="164" showAll="0"/>
    <pivotField dataField="1" showAll="0">
      <items count="5">
        <item x="3"/>
        <item x="0"/>
        <item x="1"/>
        <item x="2"/>
        <item t="default"/>
      </items>
    </pivotField>
    <pivotField showAll="0">
      <items count="3">
        <item x="0"/>
        <item x="1"/>
        <item t="default"/>
      </items>
    </pivotField>
    <pivotField showAll="0">
      <items count="7">
        <item x="0"/>
        <item x="1"/>
        <item x="4"/>
        <item x="3"/>
        <item x="2"/>
        <item x="5"/>
        <item t="default"/>
      </items>
    </pivotField>
    <pivotField axis="axisRow" showAll="0">
      <items count="9">
        <item x="0"/>
        <item x="1"/>
        <item x="2"/>
        <item x="3"/>
        <item x="4"/>
        <item x="5"/>
        <item x="6"/>
        <item x="7"/>
        <item t="default"/>
      </items>
    </pivotField>
    <pivotField dragToRow="0" dragToCol="0" dragToPage="0" showAll="0" defaultSubtotal="0"/>
  </pivotFields>
  <rowFields count="1">
    <field x="12"/>
  </rowFields>
  <rowItems count="7">
    <i>
      <x v="1"/>
    </i>
    <i>
      <x v="2"/>
    </i>
    <i>
      <x v="3"/>
    </i>
    <i>
      <x v="4"/>
    </i>
    <i>
      <x v="5"/>
    </i>
    <i>
      <x v="6"/>
    </i>
    <i t="grand">
      <x/>
    </i>
  </rowItems>
  <colItems count="1">
    <i/>
  </colItems>
  <dataFields count="1">
    <dataField name="Average of PerformanceRating" fld="9" subtotal="average" baseField="12"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EAA331-4AE8-4753-81DA-CCC260E040E9}" name="kpi5_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X34:Z41" firstHeaderRow="1" firstDataRow="2"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axis="axisCol" dataField="1" showAll="0">
      <items count="3">
        <item x="1"/>
        <item x="0"/>
        <item t="default"/>
      </items>
    </pivotField>
    <pivotField showAll="0"/>
    <pivotField showAll="0">
      <items count="7">
        <item x="2"/>
        <item x="1"/>
        <item x="0"/>
        <item x="5"/>
        <item x="3"/>
        <item x="4"/>
        <item t="default"/>
      </items>
    </pivotField>
    <pivotField showAll="0"/>
    <pivotField showAll="0"/>
    <pivotField showAll="0"/>
    <pivotField numFmtId="164" showAll="0"/>
    <pivotField showAll="0"/>
    <pivotField showAll="0">
      <items count="3">
        <item x="0"/>
        <item x="1"/>
        <item t="default"/>
      </items>
    </pivotField>
    <pivotField axis="axisRow"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11"/>
  </rowFields>
  <rowItems count="6">
    <i>
      <x/>
    </i>
    <i>
      <x v="1"/>
    </i>
    <i>
      <x v="2"/>
    </i>
    <i>
      <x v="3"/>
    </i>
    <i>
      <x v="4"/>
    </i>
    <i>
      <x v="5"/>
    </i>
  </rowItems>
  <colFields count="1">
    <field x="2"/>
  </colFields>
  <colItems count="2">
    <i>
      <x/>
    </i>
    <i>
      <x v="1"/>
    </i>
  </colItems>
  <dataFields count="1">
    <dataField name="Count of Gender" fld="2" subtotal="count" showDataAs="percentOfRow" baseField="4" baseItem="0" numFmtId="9"/>
  </dataField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025182-07B3-42A1-BF81-5B841D327DB5}" name="kpi2_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D50:F53" firstHeaderRow="1" firstDataRow="2"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axis="axisRow" showAll="0">
      <items count="3">
        <item x="1"/>
        <item x="0"/>
        <item t="default"/>
      </items>
    </pivotField>
    <pivotField showAll="0"/>
    <pivotField showAll="0" sortType="descending">
      <items count="7">
        <item x="2"/>
        <item x="1"/>
        <item x="0"/>
        <item x="5"/>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axis="axisCol" dataField="1" multipleItemSelectionAllowed="1"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2"/>
  </rowFields>
  <rowItems count="2">
    <i>
      <x/>
    </i>
    <i>
      <x v="1"/>
    </i>
  </rowItems>
  <colFields count="1">
    <field x="10"/>
  </colFields>
  <colItems count="2">
    <i>
      <x/>
    </i>
    <i>
      <x v="1"/>
    </i>
  </colItems>
  <dataFields count="1">
    <dataField name="Count of Attrition" fld="10" subtotal="count" showDataAs="percentOfRow" baseField="12" baseItem="0" numFmtId="9"/>
  </dataFields>
  <chartFormats count="3">
    <chartFormat chart="13" format="4" series="1">
      <pivotArea type="data" outline="0" fieldPosition="0">
        <references count="2">
          <reference field="4294967294" count="1" selected="0">
            <x v="0"/>
          </reference>
          <reference field="10" count="1" selected="0">
            <x v="0"/>
          </reference>
        </references>
      </pivotArea>
    </chartFormat>
    <chartFormat chart="13" format="5" series="1">
      <pivotArea type="data" outline="0" fieldPosition="0">
        <references count="2">
          <reference field="4294967294" count="1" selected="0">
            <x v="0"/>
          </reference>
          <reference field="10" count="1" selected="0">
            <x v="1"/>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E2B0FD-8DCC-4D15-B2C3-F2549B7E9012}" name="kpi1_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P17:Q24" firstHeaderRow="1" firstDataRow="1" firstDataCol="1"/>
  <pivotFields count="14">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showAll="0">
      <items count="7">
        <item x="2"/>
        <item x="1"/>
        <item x="0"/>
        <item x="5"/>
        <item x="3"/>
        <item x="4"/>
        <item t="default"/>
      </items>
    </pivotField>
    <pivotField showAll="0"/>
    <pivotField showAll="0"/>
    <pivotField showAll="0"/>
    <pivotField numFmtId="164" showAll="0"/>
    <pivotField showAll="0"/>
    <pivotField showAll="0">
      <items count="3">
        <item x="0"/>
        <item x="1"/>
        <item t="default"/>
      </items>
    </pivotField>
    <pivotField axis="axisRow"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11"/>
  </rowFields>
  <rowItems count="7">
    <i>
      <x/>
    </i>
    <i>
      <x v="1"/>
    </i>
    <i>
      <x v="2"/>
    </i>
    <i>
      <x v="3"/>
    </i>
    <i>
      <x v="4"/>
    </i>
    <i>
      <x v="5"/>
    </i>
    <i t="grand">
      <x/>
    </i>
  </rowItems>
  <colItems count="1">
    <i/>
  </colItems>
  <dataFields count="1">
    <dataField name="Count of EmployeeI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716592-DDB4-49E3-9FFA-87125C19A736}" name="kpi1_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4:I11" firstHeaderRow="1" firstDataRow="1" firstDataCol="1"/>
  <pivotFields count="14">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axis="axisRow" showAll="0">
      <items count="7">
        <item x="2"/>
        <item x="1"/>
        <item x="0"/>
        <item x="5"/>
        <item x="3"/>
        <item x="4"/>
        <item t="default"/>
      </items>
    </pivotField>
    <pivotField showAll="0"/>
    <pivotField showAll="0"/>
    <pivotField showAll="0"/>
    <pivotField numFmtId="164" showAll="0"/>
    <pivotField showAll="0"/>
    <pivotField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4"/>
  </rowFields>
  <rowItems count="7">
    <i>
      <x/>
    </i>
    <i>
      <x v="1"/>
    </i>
    <i>
      <x v="2"/>
    </i>
    <i>
      <x v="3"/>
    </i>
    <i>
      <x v="4"/>
    </i>
    <i>
      <x v="5"/>
    </i>
    <i t="grand">
      <x/>
    </i>
  </rowItems>
  <colItems count="1">
    <i/>
  </colItems>
  <dataFields count="1">
    <dataField name="Count of Employee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B717A0-9779-40E1-822C-6459333444BC}" name="PivotTable30"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G35:AN43" firstHeaderRow="1" firstDataRow="2"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axis="axisCol" showAll="0">
      <items count="7">
        <item x="2"/>
        <item x="1"/>
        <item x="0"/>
        <item x="5"/>
        <item x="3"/>
        <item x="4"/>
        <item t="default"/>
      </items>
    </pivotField>
    <pivotField showAll="0"/>
    <pivotField showAll="0"/>
    <pivotField showAll="0"/>
    <pivotField numFmtId="164" showAll="0"/>
    <pivotField dataField="1" showAll="0">
      <items count="5">
        <item x="3"/>
        <item x="0"/>
        <item x="1"/>
        <item x="2"/>
        <item t="default"/>
      </items>
    </pivotField>
    <pivotField showAll="0">
      <items count="3">
        <item x="0"/>
        <item x="1"/>
        <item t="default"/>
      </items>
    </pivotField>
    <pivotField axis="axisRow"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11"/>
  </rowFields>
  <rowItems count="7">
    <i>
      <x/>
    </i>
    <i>
      <x v="1"/>
    </i>
    <i>
      <x v="2"/>
    </i>
    <i>
      <x v="3"/>
    </i>
    <i>
      <x v="4"/>
    </i>
    <i>
      <x v="5"/>
    </i>
    <i t="grand">
      <x/>
    </i>
  </rowItems>
  <colFields count="1">
    <field x="4"/>
  </colFields>
  <colItems count="7">
    <i>
      <x/>
    </i>
    <i>
      <x v="1"/>
    </i>
    <i>
      <x v="2"/>
    </i>
    <i>
      <x v="3"/>
    </i>
    <i>
      <x v="4"/>
    </i>
    <i>
      <x v="5"/>
    </i>
    <i t="grand">
      <x/>
    </i>
  </colItems>
  <dataFields count="1">
    <dataField name="Avg of Perform.Rating" fld="9" subtotal="average" baseField="11" baseItem="0" numFmtId="165"/>
  </dataFields>
  <conditionalFormats count="1">
    <conditionalFormat priority="1">
      <pivotAreas count="1">
        <pivotArea type="all" outline="0"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15BE78-673E-48EB-9399-DFD089076C47}" name="kpi3_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X67:AE73" firstHeaderRow="1" firstDataRow="2"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axis="axisCol" showAll="0">
      <items count="7">
        <item x="2"/>
        <item x="1"/>
        <item x="0"/>
        <item x="5"/>
        <item x="3"/>
        <item x="4"/>
        <item t="default"/>
      </items>
    </pivotField>
    <pivotField showAll="0"/>
    <pivotField showAll="0"/>
    <pivotField showAll="0"/>
    <pivotField dataField="1" numFmtId="164" showAll="0"/>
    <pivotField axis="axisRow" showAll="0">
      <items count="5">
        <item x="3"/>
        <item x="0"/>
        <item x="1"/>
        <item x="2"/>
        <item t="default"/>
      </items>
    </pivotField>
    <pivotField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9"/>
  </rowFields>
  <rowItems count="5">
    <i>
      <x/>
    </i>
    <i>
      <x v="1"/>
    </i>
    <i>
      <x v="2"/>
    </i>
    <i>
      <x v="3"/>
    </i>
    <i t="grand">
      <x/>
    </i>
  </rowItems>
  <colFields count="1">
    <field x="4"/>
  </colFields>
  <colItems count="7">
    <i>
      <x/>
    </i>
    <i>
      <x v="1"/>
    </i>
    <i>
      <x v="2"/>
    </i>
    <i>
      <x v="3"/>
    </i>
    <i>
      <x v="4"/>
    </i>
    <i>
      <x v="5"/>
    </i>
    <i t="grand">
      <x/>
    </i>
  </colItems>
  <dataFields count="1">
    <dataField name="Average of Salary" fld="8" subtotal="average" baseField="4" baseItem="2" numFmtId="164"/>
  </dataFields>
  <chartFormats count="6">
    <chartFormat chart="8" format="12" series="1">
      <pivotArea type="data" outline="0" fieldPosition="0">
        <references count="2">
          <reference field="4294967294" count="1" selected="0">
            <x v="0"/>
          </reference>
          <reference field="4" count="1" selected="0">
            <x v="0"/>
          </reference>
        </references>
      </pivotArea>
    </chartFormat>
    <chartFormat chart="8" format="13" series="1">
      <pivotArea type="data" outline="0" fieldPosition="0">
        <references count="2">
          <reference field="4294967294" count="1" selected="0">
            <x v="0"/>
          </reference>
          <reference field="4" count="1" selected="0">
            <x v="1"/>
          </reference>
        </references>
      </pivotArea>
    </chartFormat>
    <chartFormat chart="8" format="14" series="1">
      <pivotArea type="data" outline="0" fieldPosition="0">
        <references count="2">
          <reference field="4294967294" count="1" selected="0">
            <x v="0"/>
          </reference>
          <reference field="4" count="1" selected="0">
            <x v="2"/>
          </reference>
        </references>
      </pivotArea>
    </chartFormat>
    <chartFormat chart="8" format="15" series="1">
      <pivotArea type="data" outline="0" fieldPosition="0">
        <references count="2">
          <reference field="4294967294" count="1" selected="0">
            <x v="0"/>
          </reference>
          <reference field="4" count="1" selected="0">
            <x v="3"/>
          </reference>
        </references>
      </pivotArea>
    </chartFormat>
    <chartFormat chart="8" format="16" series="1">
      <pivotArea type="data" outline="0" fieldPosition="0">
        <references count="2">
          <reference field="4294967294" count="1" selected="0">
            <x v="0"/>
          </reference>
          <reference field="4" count="1" selected="0">
            <x v="4"/>
          </reference>
        </references>
      </pivotArea>
    </chartFormat>
    <chartFormat chart="8" format="17"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C6B329-57B0-4C29-9CDC-DFEFBBDF2134}" name="kpi2_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D39:F46" firstHeaderRow="1" firstDataRow="2"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showAll="0">
      <items count="7">
        <item x="2"/>
        <item x="1"/>
        <item x="0"/>
        <item x="5"/>
        <item x="3"/>
        <item x="4"/>
        <item t="default"/>
      </items>
    </pivotField>
    <pivotField showAll="0"/>
    <pivotField showAll="0"/>
    <pivotField showAll="0"/>
    <pivotField numFmtId="164" showAll="0"/>
    <pivotField showAll="0"/>
    <pivotField axis="axisCol" dataField="1" showAll="0">
      <items count="3">
        <item x="0"/>
        <item x="1"/>
        <item t="default"/>
      </items>
    </pivotField>
    <pivotField axis="axisRow"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11"/>
  </rowFields>
  <rowItems count="6">
    <i>
      <x/>
    </i>
    <i>
      <x v="1"/>
    </i>
    <i>
      <x v="2"/>
    </i>
    <i>
      <x v="3"/>
    </i>
    <i>
      <x v="4"/>
    </i>
    <i>
      <x v="5"/>
    </i>
  </rowItems>
  <colFields count="1">
    <field x="10"/>
  </colFields>
  <colItems count="2">
    <i>
      <x/>
    </i>
    <i>
      <x v="1"/>
    </i>
  </colItems>
  <dataFields count="1">
    <dataField name="Attrition%" fld="10" subtotal="count" showDataAs="percentOfRow" baseField="11" baseItem="2" numFmtId="9"/>
  </dataFields>
  <conditionalFormats count="2">
    <conditionalFormat priority="5">
      <pivotAreas count="1">
        <pivotArea type="data" outline="0" collapsedLevelsAreSubtotals="1" fieldPosition="0">
          <references count="2">
            <reference field="4294967294" count="1" selected="0">
              <x v="0"/>
            </reference>
            <reference field="10" count="1" selected="0">
              <x v="1"/>
            </reference>
          </references>
        </pivotArea>
      </pivotAreas>
    </conditionalFormat>
    <conditionalFormat priority="4">
      <pivotAreas count="1">
        <pivotArea type="data" outline="0" collapsedLevelsAreSubtotals="1" fieldPosition="0">
          <references count="2">
            <reference field="4294967294" count="1" selected="0">
              <x v="0"/>
            </reference>
            <reference field="10" count="1" selected="0">
              <x v="1"/>
            </reference>
          </references>
        </pivotArea>
      </pivotAreas>
    </conditionalFormat>
  </conditionalFormats>
  <chartFormats count="3">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B0A9AA-39D2-4B57-B6E6-313BE678D86C}" name="kpi3_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Z4:AA11" firstHeaderRow="1" firstDataRow="1"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axis="axisRow" showAll="0">
      <items count="7">
        <item x="2"/>
        <item x="1"/>
        <item x="0"/>
        <item x="5"/>
        <item x="3"/>
        <item x="4"/>
        <item t="default"/>
      </items>
    </pivotField>
    <pivotField showAll="0"/>
    <pivotField showAll="0"/>
    <pivotField showAll="0"/>
    <pivotField dataField="1" numFmtId="164" showAll="0"/>
    <pivotField showAll="0"/>
    <pivotField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4"/>
  </rowFields>
  <rowItems count="7">
    <i>
      <x/>
    </i>
    <i>
      <x v="1"/>
    </i>
    <i>
      <x v="2"/>
    </i>
    <i>
      <x v="3"/>
    </i>
    <i>
      <x v="4"/>
    </i>
    <i>
      <x v="5"/>
    </i>
    <i t="grand">
      <x/>
    </i>
  </rowItems>
  <colItems count="1">
    <i/>
  </colItems>
  <dataFields count="1">
    <dataField name="Average of Salary" fld="8" subtotal="average" baseField="4" baseItem="2" numFmtId="164"/>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37B9C9-3734-4DFE-9F8E-CE428A8EAD62}" name="kpi1_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20:N23" firstHeaderRow="1" firstDataRow="1" firstDataCol="1"/>
  <pivotFields count="14">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showAll="0">
      <items count="7">
        <item x="2"/>
        <item x="1"/>
        <item x="0"/>
        <item x="5"/>
        <item x="3"/>
        <item x="4"/>
        <item t="default"/>
      </items>
    </pivotField>
    <pivotField showAll="0"/>
    <pivotField showAll="0"/>
    <pivotField showAll="0"/>
    <pivotField numFmtId="164" showAll="0"/>
    <pivotField showAll="0"/>
    <pivotField axis="axisRow"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10"/>
  </rowFields>
  <rowItems count="3">
    <i>
      <x/>
    </i>
    <i>
      <x v="1"/>
    </i>
    <i t="grand">
      <x/>
    </i>
  </rowItems>
  <colItems count="1">
    <i/>
  </colItems>
  <dataFields count="1">
    <dataField name="Count of EmployeeID" fld="0" subtotal="count" baseField="0" baseItem="0"/>
  </dataFields>
  <chartFormats count="3">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10" count="1" selected="0">
            <x v="0"/>
          </reference>
        </references>
      </pivotArea>
    </chartFormat>
    <chartFormat chart="5" format="1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26351D-7D27-4F95-83D1-76CFA9B623CE}" name="kpi1_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5:S13" firstHeaderRow="1" firstDataRow="2" firstDataCol="1"/>
  <pivotFields count="14">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axis="axisCol" showAll="0">
      <items count="3">
        <item x="1"/>
        <item x="0"/>
        <item t="default"/>
      </items>
    </pivotField>
    <pivotField showAll="0"/>
    <pivotField axis="axisRow" showAll="0">
      <items count="7">
        <item x="2"/>
        <item x="1"/>
        <item x="0"/>
        <item x="5"/>
        <item x="3"/>
        <item x="4"/>
        <item t="default"/>
      </items>
    </pivotField>
    <pivotField showAll="0"/>
    <pivotField showAll="0"/>
    <pivotField showAll="0"/>
    <pivotField numFmtId="164" showAll="0"/>
    <pivotField showAll="0"/>
    <pivotField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4"/>
  </rowFields>
  <rowItems count="7">
    <i>
      <x/>
    </i>
    <i>
      <x v="1"/>
    </i>
    <i>
      <x v="2"/>
    </i>
    <i>
      <x v="3"/>
    </i>
    <i>
      <x v="4"/>
    </i>
    <i>
      <x v="5"/>
    </i>
    <i t="grand">
      <x/>
    </i>
  </rowItems>
  <colFields count="1">
    <field x="2"/>
  </colFields>
  <colItems count="3">
    <i>
      <x/>
    </i>
    <i>
      <x v="1"/>
    </i>
    <i t="grand">
      <x/>
    </i>
  </colItems>
  <dataFields count="1">
    <dataField name="Count of EmployeeID" fld="0" subtotal="count" baseField="0" baseItem="0"/>
  </dataFields>
  <chartFormats count="2">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1F6AEA8-C781-48E4-9522-81AC58026F43}" name="kpi4_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G3:AH10" firstHeaderRow="1" firstDataRow="1"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axis="axisRow" showAll="0">
      <items count="7">
        <item x="2"/>
        <item x="1"/>
        <item x="0"/>
        <item x="5"/>
        <item x="3"/>
        <item x="4"/>
        <item t="default"/>
      </items>
    </pivotField>
    <pivotField showAll="0"/>
    <pivotField showAll="0"/>
    <pivotField showAll="0"/>
    <pivotField numFmtId="164" showAll="0"/>
    <pivotField dataField="1" showAll="0">
      <items count="5">
        <item x="3"/>
        <item x="0"/>
        <item x="1"/>
        <item x="2"/>
        <item t="default"/>
      </items>
    </pivotField>
    <pivotField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4"/>
  </rowFields>
  <rowItems count="7">
    <i>
      <x/>
    </i>
    <i>
      <x v="1"/>
    </i>
    <i>
      <x v="2"/>
    </i>
    <i>
      <x v="3"/>
    </i>
    <i>
      <x v="4"/>
    </i>
    <i>
      <x v="5"/>
    </i>
    <i t="grand">
      <x/>
    </i>
  </rowItems>
  <colItems count="1">
    <i/>
  </colItems>
  <dataFields count="1">
    <dataField name="Average of PerformanceRating" fld="9" subtotal="average" baseField="4"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7A76418-23D6-43AF-B739-79729C3F3503}" name="PivotTable2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W55:Y62" firstHeaderRow="1" firstDataRow="2"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axis="axisCol" dataField="1" showAll="0">
      <items count="3">
        <item x="1"/>
        <item x="0"/>
        <item t="default"/>
      </items>
    </pivotField>
    <pivotField showAll="0"/>
    <pivotField axis="axisRow" showAll="0">
      <items count="7">
        <item x="2"/>
        <item x="1"/>
        <item x="0"/>
        <item x="5"/>
        <item x="3"/>
        <item x="4"/>
        <item t="default"/>
      </items>
    </pivotField>
    <pivotField showAll="0"/>
    <pivotField showAll="0"/>
    <pivotField showAll="0"/>
    <pivotField numFmtId="164" showAll="0"/>
    <pivotField showAll="0"/>
    <pivotField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4"/>
  </rowFields>
  <rowItems count="6">
    <i>
      <x/>
    </i>
    <i>
      <x v="1"/>
    </i>
    <i>
      <x v="2"/>
    </i>
    <i>
      <x v="3"/>
    </i>
    <i>
      <x v="4"/>
    </i>
    <i>
      <x v="5"/>
    </i>
  </rowItems>
  <colFields count="1">
    <field x="2"/>
  </colFields>
  <colItems count="2">
    <i>
      <x/>
    </i>
    <i>
      <x v="1"/>
    </i>
  </colItems>
  <dataFields count="1">
    <dataField name="Count of Gender" fld="2" subtotal="count" showDataAs="percentOfRow" baseField="4" baseItem="0" numFmtId="9"/>
  </dataFields>
  <conditionalFormats count="1">
    <conditionalFormat priority="7">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081B9B0-00C6-48E7-98AA-81473A522570}" name="KPI_avgs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0:B11" firstHeaderRow="1" firstDataRow="1" firstDataCol="0"/>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showAll="0">
      <items count="7">
        <item x="2"/>
        <item x="1"/>
        <item x="0"/>
        <item x="5"/>
        <item x="3"/>
        <item x="4"/>
        <item t="default"/>
      </items>
    </pivotField>
    <pivotField showAll="0"/>
    <pivotField showAll="0"/>
    <pivotField showAll="0"/>
    <pivotField dataField="1" numFmtId="164" showAll="0"/>
    <pivotField showAll="0"/>
    <pivotField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Items count="1">
    <i/>
  </rowItems>
  <colItems count="1">
    <i/>
  </colItems>
  <dataFields count="1">
    <dataField name="Average of Salary" fld="8" subtotal="average"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F27AB6D-6A74-4079-8680-74C4825577B4}" name="kpi5_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X47:Y49" firstHeaderRow="1" firstDataRow="1"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axis="axisRow" dataField="1" showAll="0">
      <items count="3">
        <item x="1"/>
        <item x="0"/>
        <item t="default"/>
      </items>
    </pivotField>
    <pivotField showAll="0"/>
    <pivotField showAll="0">
      <items count="7">
        <item x="2"/>
        <item x="1"/>
        <item x="0"/>
        <item x="5"/>
        <item x="3"/>
        <item x="4"/>
        <item t="default"/>
      </items>
    </pivotField>
    <pivotField showAll="0"/>
    <pivotField showAll="0"/>
    <pivotField showAll="0"/>
    <pivotField numFmtId="164" showAll="0"/>
    <pivotField showAll="0"/>
    <pivotField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2"/>
  </rowFields>
  <rowItems count="2">
    <i>
      <x/>
    </i>
    <i>
      <x v="1"/>
    </i>
  </rowItems>
  <colItems count="1">
    <i/>
  </colItems>
  <dataFields count="1">
    <dataField name="Count of Gender" fld="2" subtotal="count" showDataAs="percentOfTotal" baseField="4" baseItem="0" numFmtId="9"/>
  </dataFields>
  <chartFormats count="1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2" count="1" selected="0">
            <x v="0"/>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2" count="1" selected="0">
            <x v="0"/>
          </reference>
        </references>
      </pivotArea>
    </chartFormat>
    <chartFormat chart="8" format="12">
      <pivotArea type="data" outline="0" fieldPosition="0">
        <references count="2">
          <reference field="4294967294" count="1" selected="0">
            <x v="0"/>
          </reference>
          <reference field="2"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2" count="1" selected="0">
            <x v="0"/>
          </reference>
        </references>
      </pivotArea>
    </chartFormat>
    <chartFormat chart="9" format="1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85CEDD2-574A-4B3E-B7D6-908048886742}" name="KPI_perfor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3:B14" firstHeaderRow="1" firstDataRow="1" firstDataCol="0"/>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showAll="0">
      <items count="7">
        <item x="2"/>
        <item x="1"/>
        <item x="0"/>
        <item x="5"/>
        <item x="3"/>
        <item x="4"/>
        <item t="default"/>
      </items>
    </pivotField>
    <pivotField showAll="0"/>
    <pivotField showAll="0"/>
    <pivotField showAll="0"/>
    <pivotField numFmtId="164" showAll="0"/>
    <pivotField dataField="1" showAll="0"/>
    <pivotField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Items count="1">
    <i/>
  </rowItems>
  <colItems count="1">
    <i/>
  </colItems>
  <dataFields count="1">
    <dataField name="Avg of PerformRating" fld="9" subtotal="average"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2C69E6D-E495-42A7-A13B-32B5A88005E5}" name="kpi2_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location ref="D60:E67" firstHeaderRow="1" firstDataRow="2" firstDataCol="1"/>
  <pivotFields count="14">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axis="axisRow" showAll="0" sortType="descending">
      <items count="7">
        <item x="2"/>
        <item x="1"/>
        <item x="0"/>
        <item x="5"/>
        <item x="3"/>
        <item x="4"/>
        <item t="default"/>
      </items>
      <autoSortScope>
        <pivotArea dataOnly="0" outline="0" fieldPosition="0">
          <references count="2">
            <reference field="4294967294" count="1" selected="0">
              <x v="0"/>
            </reference>
            <reference field="10" count="1" selected="0">
              <x v="1"/>
            </reference>
          </references>
        </pivotArea>
      </autoSortScope>
    </pivotField>
    <pivotField showAll="0"/>
    <pivotField showAll="0"/>
    <pivotField showAll="0"/>
    <pivotField numFmtId="164" showAll="0"/>
    <pivotField showAll="0"/>
    <pivotField axis="axisCol" multipleItemSelectionAllowed="1" showAll="0">
      <items count="3">
        <item h="1"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4"/>
  </rowFields>
  <rowItems count="6">
    <i>
      <x v="1"/>
    </i>
    <i>
      <x v="5"/>
    </i>
    <i>
      <x v="3"/>
    </i>
    <i>
      <x v="2"/>
    </i>
    <i>
      <x/>
    </i>
    <i t="grand">
      <x/>
    </i>
  </rowItems>
  <colFields count="1">
    <field x="10"/>
  </colFields>
  <colItems count="1">
    <i>
      <x v="1"/>
    </i>
  </colItems>
  <dataFields count="1">
    <dataField name="Count of EmployeeID" fld="0" subtotal="count" showDataAs="percentOfTotal" baseField="4" baseItem="0" numFmtId="9"/>
  </dataFields>
  <chartFormats count="12">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 chart="3" format="6">
      <pivotArea type="data" outline="0" fieldPosition="0">
        <references count="3">
          <reference field="4294967294" count="1" selected="0">
            <x v="0"/>
          </reference>
          <reference field="4" count="1" selected="0">
            <x v="4"/>
          </reference>
          <reference field="10" count="1" selected="0">
            <x v="1"/>
          </reference>
        </references>
      </pivotArea>
    </chartFormat>
    <chartFormat chart="3"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4" count="1" selected="0">
            <x v="1"/>
          </reference>
        </references>
      </pivotArea>
    </chartFormat>
    <chartFormat chart="9" format="9">
      <pivotArea type="data" outline="0" fieldPosition="0">
        <references count="2">
          <reference field="4294967294" count="1" selected="0">
            <x v="0"/>
          </reference>
          <reference field="4" count="1" selected="0">
            <x v="5"/>
          </reference>
        </references>
      </pivotArea>
    </chartFormat>
    <chartFormat chart="9" format="10">
      <pivotArea type="data" outline="0" fieldPosition="0">
        <references count="2">
          <reference field="4294967294" count="1" selected="0">
            <x v="0"/>
          </reference>
          <reference field="4" count="1" selected="0">
            <x v="3"/>
          </reference>
        </references>
      </pivotArea>
    </chartFormat>
    <chartFormat chart="9" format="11">
      <pivotArea type="data" outline="0" fieldPosition="0">
        <references count="2">
          <reference field="4294967294" count="1" selected="0">
            <x v="0"/>
          </reference>
          <reference field="4" count="1" selected="0">
            <x v="2"/>
          </reference>
        </references>
      </pivotArea>
    </chartFormat>
    <chartFormat chart="9" format="12">
      <pivotArea type="data" outline="0" fieldPosition="0">
        <references count="2">
          <reference field="4294967294" count="1" selected="0">
            <x v="0"/>
          </reference>
          <reference field="4" count="1" selected="0">
            <x v="0"/>
          </reference>
        </references>
      </pivotArea>
    </chartFormat>
    <chartFormat chart="9" format="13"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10D9FEE-EADA-4061-8AD0-F14B58872444}" name="KPI_at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B6:C8" firstHeaderRow="1" firstDataRow="1"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showAll="0">
      <items count="7">
        <item x="2"/>
        <item x="1"/>
        <item x="0"/>
        <item x="5"/>
        <item x="3"/>
        <item x="4"/>
        <item t="default"/>
      </items>
    </pivotField>
    <pivotField showAll="0"/>
    <pivotField showAll="0"/>
    <pivotField showAll="0"/>
    <pivotField numFmtId="164" showAll="0"/>
    <pivotField showAll="0"/>
    <pivotField axis="axisRow" dataField="1"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10"/>
  </rowFields>
  <rowItems count="2">
    <i>
      <x/>
    </i>
    <i>
      <x v="1"/>
    </i>
  </rowItems>
  <colItems count="1">
    <i/>
  </colItems>
  <dataFields count="1">
    <dataField name="Count of Attrition" fld="10" subtotal="count" showDataAs="percentOfTotal" baseField="10" baseItem="0" numFmtId="9"/>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0"/>
          </reference>
        </references>
      </pivotArea>
    </chartFormat>
    <chartFormat chart="3" format="4">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9DC4425-884B-4C14-9698-182EC24A68AD}" name="kpi3_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C75:AD82" firstHeaderRow="1" firstDataRow="1"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axis="axisRow" showAll="0">
      <items count="7">
        <item x="2"/>
        <item x="1"/>
        <item x="0"/>
        <item x="5"/>
        <item x="3"/>
        <item x="4"/>
        <item t="default"/>
      </items>
    </pivotField>
    <pivotField showAll="0"/>
    <pivotField showAll="0"/>
    <pivotField showAll="0"/>
    <pivotField dataField="1" numFmtId="164" showAll="0"/>
    <pivotField showAll="0">
      <items count="5">
        <item x="3"/>
        <item x="0"/>
        <item x="1"/>
        <item x="2"/>
        <item t="default"/>
      </items>
    </pivotField>
    <pivotField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4"/>
  </rowFields>
  <rowItems count="7">
    <i>
      <x/>
    </i>
    <i>
      <x v="1"/>
    </i>
    <i>
      <x v="2"/>
    </i>
    <i>
      <x v="3"/>
    </i>
    <i>
      <x v="4"/>
    </i>
    <i>
      <x v="5"/>
    </i>
    <i t="grand">
      <x/>
    </i>
  </rowItems>
  <colItems count="1">
    <i/>
  </colItems>
  <dataFields count="1">
    <dataField name="Sum of Salary" fld="8" baseField="9" baseItem="1" numFmtId="164"/>
  </dataFields>
  <chartFormats count="17">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3" format="12" series="1">
      <pivotArea type="data" outline="0" fieldPosition="0">
        <references count="2">
          <reference field="4294967294" count="1" selected="0">
            <x v="0"/>
          </reference>
          <reference field="4" count="1" selected="0">
            <x v="0"/>
          </reference>
        </references>
      </pivotArea>
    </chartFormat>
    <chartFormat chart="3" format="13" series="1">
      <pivotArea type="data" outline="0" fieldPosition="0">
        <references count="2">
          <reference field="4294967294" count="1" selected="0">
            <x v="0"/>
          </reference>
          <reference field="4" count="1" selected="0">
            <x v="1"/>
          </reference>
        </references>
      </pivotArea>
    </chartFormat>
    <chartFormat chart="3" format="14" series="1">
      <pivotArea type="data" outline="0" fieldPosition="0">
        <references count="2">
          <reference field="4294967294" count="1" selected="0">
            <x v="0"/>
          </reference>
          <reference field="4" count="1" selected="0">
            <x v="2"/>
          </reference>
        </references>
      </pivotArea>
    </chartFormat>
    <chartFormat chart="3" format="15" series="1">
      <pivotArea type="data" outline="0" fieldPosition="0">
        <references count="2">
          <reference field="4294967294" count="1" selected="0">
            <x v="0"/>
          </reference>
          <reference field="4" count="1" selected="0">
            <x v="3"/>
          </reference>
        </references>
      </pivotArea>
    </chartFormat>
    <chartFormat chart="3" format="16" series="1">
      <pivotArea type="data" outline="0" fieldPosition="0">
        <references count="2">
          <reference field="4294967294" count="1" selected="0">
            <x v="0"/>
          </reference>
          <reference field="4" count="1" selected="0">
            <x v="4"/>
          </reference>
        </references>
      </pivotArea>
    </chartFormat>
    <chartFormat chart="3" format="17" series="1">
      <pivotArea type="data" outline="0" fieldPosition="0">
        <references count="2">
          <reference field="4294967294" count="1" selected="0">
            <x v="0"/>
          </reference>
          <reference field="4" count="1" selected="0">
            <x v="5"/>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62B853E-850E-4176-8311-7A0CD90BD880}" name="KPI_emp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B4" firstHeaderRow="1" firstDataRow="1" firstDataCol="0"/>
  <pivotFields count="14">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showAll="0">
      <items count="7">
        <item x="2"/>
        <item x="1"/>
        <item x="0"/>
        <item x="5"/>
        <item x="3"/>
        <item x="4"/>
        <item t="default"/>
      </items>
    </pivotField>
    <pivotField showAll="0"/>
    <pivotField showAll="0"/>
    <pivotField showAll="0"/>
    <pivotField numFmtId="164" showAll="0"/>
    <pivotField showAll="0"/>
    <pivotField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Items count="1">
    <i/>
  </rowItems>
  <colItems count="1">
    <i/>
  </colItems>
  <dataFields count="1">
    <dataField name="Count of Employee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1A6C204-7A52-4241-A97A-0633234FEF58}" name="kpi2_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29:B35" firstHeaderRow="1" firstDataRow="1"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showAll="0">
      <items count="7">
        <item x="2"/>
        <item x="1"/>
        <item x="0"/>
        <item x="5"/>
        <item x="3"/>
        <item x="4"/>
        <item t="default"/>
      </items>
    </pivotField>
    <pivotField showAll="0"/>
    <pivotField showAll="0"/>
    <pivotField showAll="0"/>
    <pivotField numFmtId="164" showAll="0"/>
    <pivotField showAll="0"/>
    <pivotField dataField="1" showAll="0">
      <items count="3">
        <item x="0"/>
        <item x="1"/>
        <item t="default"/>
      </items>
    </pivotField>
    <pivotField showAll="0">
      <items count="7">
        <item x="0"/>
        <item x="1"/>
        <item x="4"/>
        <item x="3"/>
        <item x="2"/>
        <item x="5"/>
        <item t="default"/>
      </items>
    </pivotField>
    <pivotField axis="axisRow" showAll="0">
      <items count="9">
        <item x="0"/>
        <item x="1"/>
        <item x="2"/>
        <item x="3"/>
        <item x="4"/>
        <item x="5"/>
        <item x="6"/>
        <item x="7"/>
        <item t="default"/>
      </items>
    </pivotField>
    <pivotField dragToRow="0" dragToCol="0" dragToPage="0" showAll="0" defaultSubtotal="0"/>
  </pivotFields>
  <rowFields count="1">
    <field x="12"/>
  </rowFields>
  <rowItems count="6">
    <i>
      <x v="1"/>
    </i>
    <i>
      <x v="2"/>
    </i>
    <i>
      <x v="3"/>
    </i>
    <i>
      <x v="4"/>
    </i>
    <i>
      <x v="5"/>
    </i>
    <i>
      <x v="6"/>
    </i>
  </rowItems>
  <colItems count="1">
    <i/>
  </colItems>
  <dataFields count="1">
    <dataField name="Count of Attrition" fld="10" subtotal="count" showDataAs="percentOfTotal" baseField="12" baseItem="0" numFmtId="9"/>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3882B3C-9541-4EAF-B022-FD1C2D9D87A2}" name="kpi5_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S46:U53" firstHeaderRow="1" firstDataRow="2"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axis="axisCol" dataField="1" showAll="0">
      <items count="3">
        <item x="1"/>
        <item x="0"/>
        <item t="default"/>
      </items>
    </pivotField>
    <pivotField showAll="0"/>
    <pivotField showAll="0">
      <items count="7">
        <item x="2"/>
        <item x="1"/>
        <item x="0"/>
        <item x="5"/>
        <item x="3"/>
        <item x="4"/>
        <item t="default"/>
      </items>
    </pivotField>
    <pivotField showAll="0"/>
    <pivotField showAll="0"/>
    <pivotField showAll="0"/>
    <pivotField numFmtId="164" showAll="0"/>
    <pivotField showAll="0"/>
    <pivotField showAll="0">
      <items count="3">
        <item x="0"/>
        <item x="1"/>
        <item t="default"/>
      </items>
    </pivotField>
    <pivotField showAll="0">
      <items count="7">
        <item x="0"/>
        <item x="1"/>
        <item x="4"/>
        <item x="3"/>
        <item x="2"/>
        <item x="5"/>
        <item t="default"/>
      </items>
    </pivotField>
    <pivotField axis="axisRow" showAll="0">
      <items count="9">
        <item x="0"/>
        <item x="1"/>
        <item x="2"/>
        <item x="3"/>
        <item x="4"/>
        <item x="5"/>
        <item x="6"/>
        <item x="7"/>
        <item t="default"/>
      </items>
    </pivotField>
    <pivotField dragToRow="0" dragToCol="0" dragToPage="0" showAll="0" defaultSubtotal="0"/>
  </pivotFields>
  <rowFields count="1">
    <field x="12"/>
  </rowFields>
  <rowItems count="6">
    <i>
      <x v="1"/>
    </i>
    <i>
      <x v="2"/>
    </i>
    <i>
      <x v="3"/>
    </i>
    <i>
      <x v="4"/>
    </i>
    <i>
      <x v="5"/>
    </i>
    <i>
      <x v="6"/>
    </i>
  </rowItems>
  <colFields count="1">
    <field x="2"/>
  </colFields>
  <colItems count="2">
    <i>
      <x/>
    </i>
    <i>
      <x v="1"/>
    </i>
  </colItems>
  <dataFields count="1">
    <dataField name="Count of Gender" fld="2" subtotal="count" showDataAs="percentOfRow" baseField="12" baseItem="3" numFmtId="9"/>
  </dataFields>
  <chartFormats count="3">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85441C3-DB7A-4CC2-90C2-33402010288B}" name="kpi2_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D29:F36" firstHeaderRow="1" firstDataRow="2"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axis="axisRow" showAll="0" sortType="ascending">
      <items count="7">
        <item x="2"/>
        <item x="1"/>
        <item x="0"/>
        <item x="5"/>
        <item x="3"/>
        <item x="4"/>
        <item t="default"/>
      </items>
    </pivotField>
    <pivotField showAll="0"/>
    <pivotField showAll="0"/>
    <pivotField showAll="0"/>
    <pivotField numFmtId="164" showAll="0"/>
    <pivotField showAll="0"/>
    <pivotField axis="axisCol" dataField="1"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4"/>
  </rowFields>
  <rowItems count="6">
    <i>
      <x/>
    </i>
    <i>
      <x v="1"/>
    </i>
    <i>
      <x v="2"/>
    </i>
    <i>
      <x v="3"/>
    </i>
    <i>
      <x v="4"/>
    </i>
    <i>
      <x v="5"/>
    </i>
  </rowItems>
  <colFields count="1">
    <field x="10"/>
  </colFields>
  <colItems count="2">
    <i>
      <x/>
    </i>
    <i>
      <x v="1"/>
    </i>
  </colItems>
  <dataFields count="1">
    <dataField name="Attrition%" fld="10" subtotal="count" showDataAs="percentOfRow" baseField="4" baseItem="0" numFmtId="9"/>
  </dataFields>
  <chartFormats count="5">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BC705F3-8465-48E8-97A4-615A84BB354B}" name="kpi3_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V14:AC18" firstHeaderRow="1" firstDataRow="2"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axis="axisRow" showAll="0">
      <items count="3">
        <item x="1"/>
        <item x="0"/>
        <item t="default"/>
      </items>
    </pivotField>
    <pivotField showAll="0"/>
    <pivotField axis="axisCol" showAll="0">
      <items count="7">
        <item x="2"/>
        <item x="1"/>
        <item x="0"/>
        <item x="5"/>
        <item x="3"/>
        <item x="4"/>
        <item t="default"/>
      </items>
    </pivotField>
    <pivotField showAll="0"/>
    <pivotField showAll="0"/>
    <pivotField showAll="0"/>
    <pivotField dataField="1" numFmtId="164" showAll="0"/>
    <pivotField showAll="0"/>
    <pivotField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2"/>
  </rowFields>
  <rowItems count="3">
    <i>
      <x/>
    </i>
    <i>
      <x v="1"/>
    </i>
    <i t="grand">
      <x/>
    </i>
  </rowItems>
  <colFields count="1">
    <field x="4"/>
  </colFields>
  <colItems count="7">
    <i>
      <x/>
    </i>
    <i>
      <x v="1"/>
    </i>
    <i>
      <x v="2"/>
    </i>
    <i>
      <x v="3"/>
    </i>
    <i>
      <x v="4"/>
    </i>
    <i>
      <x v="5"/>
    </i>
    <i t="grand">
      <x/>
    </i>
  </colItems>
  <dataFields count="1">
    <dataField name="Average of Salary" fld="8" subtotal="average" baseField="4" baseItem="2" numFmtId="164"/>
  </dataFields>
  <chartFormats count="6">
    <chartFormat chart="16" format="12" series="1">
      <pivotArea type="data" outline="0" fieldPosition="0">
        <references count="2">
          <reference field="4294967294" count="1" selected="0">
            <x v="0"/>
          </reference>
          <reference field="4" count="1" selected="0">
            <x v="0"/>
          </reference>
        </references>
      </pivotArea>
    </chartFormat>
    <chartFormat chart="16" format="13" series="1">
      <pivotArea type="data" outline="0" fieldPosition="0">
        <references count="2">
          <reference field="4294967294" count="1" selected="0">
            <x v="0"/>
          </reference>
          <reference field="4" count="1" selected="0">
            <x v="1"/>
          </reference>
        </references>
      </pivotArea>
    </chartFormat>
    <chartFormat chart="16" format="14" series="1">
      <pivotArea type="data" outline="0" fieldPosition="0">
        <references count="2">
          <reference field="4294967294" count="1" selected="0">
            <x v="0"/>
          </reference>
          <reference field="4" count="1" selected="0">
            <x v="2"/>
          </reference>
        </references>
      </pivotArea>
    </chartFormat>
    <chartFormat chart="16" format="15" series="1">
      <pivotArea type="data" outline="0" fieldPosition="0">
        <references count="2">
          <reference field="4294967294" count="1" selected="0">
            <x v="0"/>
          </reference>
          <reference field="4" count="1" selected="0">
            <x v="3"/>
          </reference>
        </references>
      </pivotArea>
    </chartFormat>
    <chartFormat chart="16" format="16" series="1">
      <pivotArea type="data" outline="0" fieldPosition="0">
        <references count="2">
          <reference field="4294967294" count="1" selected="0">
            <x v="0"/>
          </reference>
          <reference field="4" count="1" selected="0">
            <x v="4"/>
          </reference>
        </references>
      </pivotArea>
    </chartFormat>
    <chartFormat chart="16" format="17"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157F114-2306-450E-88DA-88FE935C2EFD}" name="kpi4_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G14:AN22" firstHeaderRow="1" firstDataRow="2"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axis="axisCol" showAll="0">
      <items count="7">
        <item x="2"/>
        <item x="1"/>
        <item x="0"/>
        <item x="5"/>
        <item x="3"/>
        <item x="4"/>
        <item t="default"/>
      </items>
    </pivotField>
    <pivotField showAll="0"/>
    <pivotField showAll="0"/>
    <pivotField showAll="0"/>
    <pivotField numFmtId="164" showAll="0"/>
    <pivotField dataField="1" showAll="0">
      <items count="5">
        <item x="3"/>
        <item x="0"/>
        <item x="1"/>
        <item x="2"/>
        <item t="default"/>
      </items>
    </pivotField>
    <pivotField showAll="0">
      <items count="3">
        <item x="0"/>
        <item x="1"/>
        <item t="default"/>
      </items>
    </pivotField>
    <pivotField axis="axisRow"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11"/>
  </rowFields>
  <rowItems count="7">
    <i>
      <x/>
    </i>
    <i>
      <x v="1"/>
    </i>
    <i>
      <x v="2"/>
    </i>
    <i>
      <x v="3"/>
    </i>
    <i>
      <x v="4"/>
    </i>
    <i>
      <x v="5"/>
    </i>
    <i t="grand">
      <x/>
    </i>
  </rowItems>
  <colFields count="1">
    <field x="4"/>
  </colFields>
  <colItems count="7">
    <i>
      <x/>
    </i>
    <i>
      <x v="1"/>
    </i>
    <i>
      <x v="2"/>
    </i>
    <i>
      <x v="3"/>
    </i>
    <i>
      <x v="4"/>
    </i>
    <i>
      <x v="5"/>
    </i>
    <i t="grand">
      <x/>
    </i>
  </colItems>
  <dataFields count="1">
    <dataField name="Average of PerformanceRating" fld="9" subtotal="average" baseField="11" baseItem="0" numFmtId="165"/>
  </dataFields>
  <conditionalFormats count="1">
    <conditionalFormat priority="8">
      <pivotAreas count="1">
        <pivotArea type="all" outline="0" fieldPosition="0"/>
      </pivotAreas>
    </conditionalFormat>
  </conditionalFormats>
  <chartFormats count="6">
    <chartFormat chart="3" format="12" series="1">
      <pivotArea type="data" outline="0" fieldPosition="0">
        <references count="2">
          <reference field="4294967294" count="1" selected="0">
            <x v="0"/>
          </reference>
          <reference field="4" count="1" selected="0">
            <x v="0"/>
          </reference>
        </references>
      </pivotArea>
    </chartFormat>
    <chartFormat chart="3" format="13" series="1">
      <pivotArea type="data" outline="0" fieldPosition="0">
        <references count="2">
          <reference field="4294967294" count="1" selected="0">
            <x v="0"/>
          </reference>
          <reference field="4" count="1" selected="0">
            <x v="1"/>
          </reference>
        </references>
      </pivotArea>
    </chartFormat>
    <chartFormat chart="3" format="14" series="1">
      <pivotArea type="data" outline="0" fieldPosition="0">
        <references count="2">
          <reference field="4294967294" count="1" selected="0">
            <x v="0"/>
          </reference>
          <reference field="4" count="1" selected="0">
            <x v="2"/>
          </reference>
        </references>
      </pivotArea>
    </chartFormat>
    <chartFormat chart="3" format="15" series="1">
      <pivotArea type="data" outline="0" fieldPosition="0">
        <references count="2">
          <reference field="4294967294" count="1" selected="0">
            <x v="0"/>
          </reference>
          <reference field="4" count="1" selected="0">
            <x v="3"/>
          </reference>
        </references>
      </pivotArea>
    </chartFormat>
    <chartFormat chart="3" format="16" series="1">
      <pivotArea type="data" outline="0" fieldPosition="0">
        <references count="2">
          <reference field="4294967294" count="1" selected="0">
            <x v="0"/>
          </reference>
          <reference field="4" count="1" selected="0">
            <x v="4"/>
          </reference>
        </references>
      </pivotArea>
    </chartFormat>
    <chartFormat chart="3" format="17"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E5F185E-270A-496C-872E-552662F58140}" name="kpi1_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4:M11" firstHeaderRow="1" firstDataRow="1" firstDataCol="1"/>
  <pivotFields count="14">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showAll="0">
      <items count="3">
        <item x="1"/>
        <item x="0"/>
        <item t="default"/>
      </items>
    </pivotField>
    <pivotField showAll="0"/>
    <pivotField showAll="0">
      <items count="7">
        <item x="2"/>
        <item x="1"/>
        <item x="0"/>
        <item x="5"/>
        <item x="3"/>
        <item x="4"/>
        <item t="default"/>
      </items>
    </pivotField>
    <pivotField showAll="0"/>
    <pivotField showAll="0"/>
    <pivotField showAll="0"/>
    <pivotField numFmtId="164" showAll="0"/>
    <pivotField showAll="0"/>
    <pivotField showAll="0">
      <items count="3">
        <item x="0"/>
        <item x="1"/>
        <item t="default"/>
      </items>
    </pivotField>
    <pivotField showAll="0">
      <items count="7">
        <item x="0"/>
        <item x="1"/>
        <item x="4"/>
        <item x="3"/>
        <item x="2"/>
        <item x="5"/>
        <item t="default"/>
      </items>
    </pivotField>
    <pivotField axis="axisRow"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12"/>
  </rowFields>
  <rowItems count="7">
    <i>
      <x v="4"/>
    </i>
    <i>
      <x v="5"/>
    </i>
    <i>
      <x v="6"/>
    </i>
    <i>
      <x v="3"/>
    </i>
    <i>
      <x v="2"/>
    </i>
    <i>
      <x v="1"/>
    </i>
    <i t="grand">
      <x/>
    </i>
  </rowItems>
  <colItems count="1">
    <i/>
  </colItems>
  <dataFields count="1">
    <dataField name="Count of Employee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664ADFB8-9196-48ED-95A0-477D69292D7B}" name="kpi5_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S35:U42" firstHeaderRow="1" firstDataRow="2" firstDataCol="1"/>
  <pivotFields count="14">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233">
        <item x="0"/>
        <item x="179"/>
        <item x="229"/>
        <item x="185"/>
        <item x="72"/>
        <item x="13"/>
        <item x="215"/>
        <item x="159"/>
        <item x="22"/>
        <item x="130"/>
        <item x="46"/>
        <item x="158"/>
        <item x="192"/>
        <item x="222"/>
        <item x="211"/>
        <item x="58"/>
        <item x="212"/>
        <item x="16"/>
        <item x="3"/>
        <item x="126"/>
        <item x="117"/>
        <item x="27"/>
        <item x="93"/>
        <item x="51"/>
        <item x="193"/>
        <item x="63"/>
        <item x="200"/>
        <item x="227"/>
        <item x="108"/>
        <item x="123"/>
        <item x="146"/>
        <item x="102"/>
        <item x="8"/>
        <item x="82"/>
        <item x="68"/>
        <item x="88"/>
        <item x="142"/>
        <item x="157"/>
        <item x="55"/>
        <item x="20"/>
        <item x="112"/>
        <item x="134"/>
        <item x="94"/>
        <item x="25"/>
        <item x="1"/>
        <item x="144"/>
        <item x="86"/>
        <item x="69"/>
        <item x="119"/>
        <item x="44"/>
        <item x="205"/>
        <item x="163"/>
        <item x="138"/>
        <item x="113"/>
        <item x="34"/>
        <item x="132"/>
        <item x="48"/>
        <item x="197"/>
        <item x="218"/>
        <item x="43"/>
        <item x="177"/>
        <item x="109"/>
        <item x="152"/>
        <item x="169"/>
        <item x="143"/>
        <item x="4"/>
        <item x="201"/>
        <item x="139"/>
        <item x="15"/>
        <item x="49"/>
        <item x="181"/>
        <item x="71"/>
        <item x="64"/>
        <item x="100"/>
        <item x="155"/>
        <item x="95"/>
        <item x="38"/>
        <item x="223"/>
        <item x="39"/>
        <item x="213"/>
        <item x="79"/>
        <item x="186"/>
        <item x="154"/>
        <item x="101"/>
        <item x="203"/>
        <item x="62"/>
        <item x="149"/>
        <item x="12"/>
        <item x="78"/>
        <item x="208"/>
        <item x="19"/>
        <item x="225"/>
        <item x="67"/>
        <item x="115"/>
        <item x="168"/>
        <item x="182"/>
        <item x="135"/>
        <item x="31"/>
        <item x="28"/>
        <item x="176"/>
        <item x="217"/>
        <item x="214"/>
        <item x="196"/>
        <item x="171"/>
        <item x="73"/>
        <item x="230"/>
        <item x="96"/>
        <item x="24"/>
        <item x="85"/>
        <item x="204"/>
        <item x="121"/>
        <item x="7"/>
        <item x="188"/>
        <item x="207"/>
        <item x="165"/>
        <item x="133"/>
        <item x="105"/>
        <item x="17"/>
        <item x="56"/>
        <item x="151"/>
        <item x="41"/>
        <item x="224"/>
        <item x="107"/>
        <item x="53"/>
        <item x="83"/>
        <item x="173"/>
        <item x="11"/>
        <item x="65"/>
        <item x="66"/>
        <item x="32"/>
        <item x="124"/>
        <item x="195"/>
        <item x="183"/>
        <item x="210"/>
        <item x="37"/>
        <item x="75"/>
        <item x="5"/>
        <item x="162"/>
        <item x="198"/>
        <item x="91"/>
        <item x="219"/>
        <item x="10"/>
        <item x="70"/>
        <item x="187"/>
        <item x="36"/>
        <item x="98"/>
        <item x="156"/>
        <item x="116"/>
        <item x="170"/>
        <item x="202"/>
        <item x="52"/>
        <item x="131"/>
        <item x="18"/>
        <item x="191"/>
        <item x="90"/>
        <item x="23"/>
        <item x="175"/>
        <item x="57"/>
        <item x="45"/>
        <item x="30"/>
        <item x="128"/>
        <item x="81"/>
        <item x="160"/>
        <item x="2"/>
        <item x="180"/>
        <item x="60"/>
        <item x="148"/>
        <item x="110"/>
        <item x="141"/>
        <item x="118"/>
        <item x="76"/>
        <item x="189"/>
        <item x="103"/>
        <item x="127"/>
        <item x="26"/>
        <item x="129"/>
        <item x="59"/>
        <item x="184"/>
        <item x="226"/>
        <item x="84"/>
        <item x="194"/>
        <item x="136"/>
        <item x="29"/>
        <item x="161"/>
        <item x="166"/>
        <item x="125"/>
        <item x="220"/>
        <item x="199"/>
        <item x="174"/>
        <item x="92"/>
        <item x="221"/>
        <item x="61"/>
        <item x="167"/>
        <item x="74"/>
        <item x="54"/>
        <item x="33"/>
        <item x="9"/>
        <item x="153"/>
        <item x="97"/>
        <item x="99"/>
        <item x="145"/>
        <item x="47"/>
        <item x="111"/>
        <item x="178"/>
        <item x="209"/>
        <item x="147"/>
        <item x="231"/>
        <item x="122"/>
        <item x="35"/>
        <item x="164"/>
        <item x="106"/>
        <item x="14"/>
        <item x="42"/>
        <item x="21"/>
        <item x="77"/>
        <item x="137"/>
        <item x="87"/>
        <item x="140"/>
        <item x="190"/>
        <item x="228"/>
        <item x="50"/>
        <item x="120"/>
        <item x="150"/>
        <item x="206"/>
        <item x="172"/>
        <item x="6"/>
        <item x="104"/>
        <item x="216"/>
        <item x="114"/>
        <item x="89"/>
        <item x="40"/>
        <item x="80"/>
        <item t="default"/>
      </items>
    </pivotField>
    <pivotField axis="axisCol" dataField="1" showAll="0">
      <items count="3">
        <item x="1"/>
        <item x="0"/>
        <item t="default"/>
      </items>
    </pivotField>
    <pivotField showAll="0"/>
    <pivotField axis="axisRow" showAll="0">
      <items count="7">
        <item x="2"/>
        <item x="1"/>
        <item x="0"/>
        <item x="5"/>
        <item x="3"/>
        <item x="4"/>
        <item t="default"/>
      </items>
    </pivotField>
    <pivotField showAll="0"/>
    <pivotField showAll="0"/>
    <pivotField showAll="0"/>
    <pivotField numFmtId="164" showAll="0"/>
    <pivotField showAll="0"/>
    <pivotField showAll="0">
      <items count="3">
        <item x="0"/>
        <item x="1"/>
        <item t="default"/>
      </items>
    </pivotField>
    <pivotField showAll="0">
      <items count="7">
        <item x="0"/>
        <item x="1"/>
        <item x="4"/>
        <item x="3"/>
        <item x="2"/>
        <item x="5"/>
        <item t="default"/>
      </items>
    </pivotField>
    <pivotField showAll="0">
      <items count="9">
        <item x="0"/>
        <item x="1"/>
        <item x="2"/>
        <item x="3"/>
        <item x="4"/>
        <item x="5"/>
        <item x="6"/>
        <item x="7"/>
        <item t="default"/>
      </items>
    </pivotField>
    <pivotField dragToRow="0" dragToCol="0" dragToPage="0" showAll="0" defaultSubtotal="0"/>
  </pivotFields>
  <rowFields count="1">
    <field x="4"/>
  </rowFields>
  <rowItems count="6">
    <i>
      <x/>
    </i>
    <i>
      <x v="1"/>
    </i>
    <i>
      <x v="2"/>
    </i>
    <i>
      <x v="3"/>
    </i>
    <i>
      <x v="4"/>
    </i>
    <i>
      <x v="5"/>
    </i>
  </rowItems>
  <colFields count="1">
    <field x="2"/>
  </colFields>
  <colItems count="2">
    <i>
      <x/>
    </i>
    <i>
      <x v="1"/>
    </i>
  </colItems>
  <dataFields count="1">
    <dataField name="Count of Gender" fld="2" subtotal="count" showDataAs="percentOfRow" baseField="4" baseItem="0" numFmtId="9"/>
  </dataFields>
  <chartFormats count="3">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097F988-81F7-4110-8620-65E2B73AAA4C}" sourceName="Gender">
  <pivotTables>
    <pivotTable tabId="2" name="KPI_div"/>
    <pivotTable tabId="2" name="KPI_att"/>
    <pivotTable tabId="2" name="KPI_avgsal"/>
    <pivotTable tabId="2" name="KPI_empcount"/>
    <pivotTable tabId="2" name="KPI_perform"/>
    <pivotTable tabId="2" name="kpi1_2"/>
    <pivotTable tabId="2" name="kpi1_3"/>
    <pivotTable tabId="2" name="kpi1_4"/>
    <pivotTable tabId="2" name="kpi1_5"/>
    <pivotTable tabId="2" name="kpi2_1"/>
    <pivotTable tabId="2" name="kpi2_2"/>
    <pivotTable tabId="2" name="kpi2_3"/>
    <pivotTable tabId="2" name="kpi2_4"/>
    <pivotTable tabId="2" name="kpi2_5"/>
    <pivotTable tabId="2" name="kpi3_1"/>
    <pivotTable tabId="2" name="kpi3_2"/>
    <pivotTable tabId="2" name="kpi3_3"/>
    <pivotTable tabId="2" name="kpi3_4"/>
    <pivotTable tabId="2" name="kpi4_1"/>
    <pivotTable tabId="2" name="kpi4_2"/>
    <pivotTable tabId="2" name="kpi4_3"/>
    <pivotTable tabId="2" name="kpi5_1"/>
    <pivotTable tabId="2" name="kpi5_3"/>
    <pivotTable tabId="2" name="kpi5_4"/>
  </pivotTables>
  <data>
    <tabular pivotCacheId="10076264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AF141D4-97D5-465F-9E08-7A5D5AB65FF4}" sourceName="Department">
  <pivotTables>
    <pivotTable tabId="2" name="KPI_div"/>
    <pivotTable tabId="2" name="KPI_att"/>
    <pivotTable tabId="2" name="KPI_avgsal"/>
    <pivotTable tabId="2" name="KPI_empcount"/>
    <pivotTable tabId="2" name="KPI_perform"/>
    <pivotTable tabId="2" name="kpi1_1"/>
    <pivotTable tabId="2" name="kpi1_2"/>
    <pivotTable tabId="2" name="kpi1_3"/>
    <pivotTable tabId="2" name="kpi1_4"/>
    <pivotTable tabId="2" name="kpi1_5"/>
    <pivotTable tabId="2" name="kpi2_1"/>
    <pivotTable tabId="2" name="kpi2_2"/>
    <pivotTable tabId="2" name="kpi2_3"/>
    <pivotTable tabId="2" name="kpi2_4"/>
    <pivotTable tabId="2" name="kpi2_5"/>
    <pivotTable tabId="2" name="kpi3_1"/>
    <pivotTable tabId="2" name="kpi3_2"/>
    <pivotTable tabId="2" name="kpi3_3"/>
    <pivotTable tabId="2" name="kpi3_4"/>
    <pivotTable tabId="2" name="kpi4_1"/>
    <pivotTable tabId="2" name="kpi4_2"/>
    <pivotTable tabId="2" name="kpi4_3"/>
    <pivotTable tabId="2" name="kpi4_4"/>
    <pivotTable tabId="2" name="kpi5_1"/>
    <pivotTable tabId="2" name="kpi5_2"/>
    <pivotTable tabId="2" name="kpi5_3"/>
    <pivotTable tabId="2" name="kpi5_4"/>
  </pivotTables>
  <data>
    <tabular pivotCacheId="100762649">
      <items count="6">
        <i x="2" s="1"/>
        <i x="1" s="1"/>
        <i x="0" s="1"/>
        <i x="5"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771281E3-C763-4AEC-966D-9B5418E8AA79}" sourceName="Attrition">
  <pivotTables>
    <pivotTable tabId="2" name="KPI_div"/>
    <pivotTable tabId="2" name="KPI_avgsal"/>
    <pivotTable tabId="2" name="KPI_empcount"/>
    <pivotTable tabId="2" name="KPI_perform"/>
    <pivotTable tabId="2" name="kpi1_1"/>
    <pivotTable tabId="2" name="kpi1_2"/>
    <pivotTable tabId="2" name="kpi1_3"/>
    <pivotTable tabId="2" name="kpi1_4"/>
    <pivotTable tabId="2" name="kpi1_5"/>
    <pivotTable tabId="2" name="kpi2_1"/>
  </pivotTables>
  <data>
    <tabular pivotCacheId="10076264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Location" xr10:uid="{6B1C3DAB-CBCA-44DA-A807-937218D0423D}" sourceName="WorkLocation">
  <pivotTables>
    <pivotTable tabId="2" name="KPI_div"/>
    <pivotTable tabId="2" name="KPI_att"/>
    <pivotTable tabId="2" name="KPI_avgsal"/>
    <pivotTable tabId="2" name="KPI_empcount"/>
    <pivotTable tabId="2" name="KPI_perform"/>
    <pivotTable tabId="2" name="kpi1_1"/>
    <pivotTable tabId="2" name="kpi1_2"/>
    <pivotTable tabId="2" name="kpi1_3"/>
    <pivotTable tabId="2" name="kpi1_4"/>
    <pivotTable tabId="2" name="kpi1_5"/>
    <pivotTable tabId="2" name="kpi2_1"/>
    <pivotTable tabId="2" name="kpi2_2"/>
    <pivotTable tabId="2" name="kpi2_3"/>
    <pivotTable tabId="2" name="kpi2_4"/>
    <pivotTable tabId="2" name="kpi2_5"/>
    <pivotTable tabId="2" name="kpi3_1"/>
    <pivotTable tabId="2" name="kpi3_2"/>
    <pivotTable tabId="2" name="kpi3_3"/>
    <pivotTable tabId="2" name="kpi3_4"/>
    <pivotTable tabId="2" name="kpi4_1"/>
    <pivotTable tabId="2" name="kpi4_2"/>
    <pivotTable tabId="2" name="kpi4_3"/>
    <pivotTable tabId="2" name="kpi4_4"/>
    <pivotTable tabId="2" name="kpi5_1"/>
    <pivotTable tabId="2" name="kpi5_2"/>
    <pivotTable tabId="2" name="kpi5_3"/>
    <pivotTable tabId="2" name="kpi5_4"/>
  </pivotTables>
  <data>
    <tabular pivotCacheId="100762649">
      <items count="6">
        <i x="0" s="1"/>
        <i x="1" s="1"/>
        <i x="4" s="1"/>
        <i x="3"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6" xr10:uid="{3A772B0D-BC89-45C5-B0AB-A304A8105660}" cache="Slicer_Gender" caption="Gender" columnCount="2" style="SlicerStyleLight2" rowHeight="216000"/>
  <slicer name="Department 6" xr10:uid="{2B4E674C-3FB2-4530-A6AE-DC4A5EBDD63D}" cache="Slicer_Department" caption="Department" style="SlicerStyleLight2" rowHeight="216000"/>
  <slicer name="Attrition 6" xr10:uid="{C85E034B-53B4-437C-9BCF-AC0DC313329D}" cache="Slicer_Attrition" caption="Attrition" columnCount="2" style="SlicerStyleLight2" rowHeight="180000"/>
  <slicer name="WorkLocation 6" xr10:uid="{A6741301-B412-4F25-823C-09D4E30B68C1}" cache="Slicer_WorkLocation" caption="WorkLocation" style="SlicerStyleLight2"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9E73172-56C2-4DFA-97E1-6AD8D17C5DF1}" cache="Slicer_Gender" caption="Gender" columnCount="2" style="SlicerStyleLight2" rowHeight="216000"/>
  <slicer name="Department" xr10:uid="{81213E69-90A7-44A3-AEDC-56EF91CA0EB7}" cache="Slicer_Department" caption="Department" style="SlicerStyleLight2" rowHeight="216000"/>
  <slicer name="Attrition" xr10:uid="{E86A074C-45D4-4AB2-84D9-44C7AE60DBEA}" cache="Slicer_Attrition" caption="Attrition" columnCount="2" style="SlicerStyleLight2" rowHeight="180000"/>
  <slicer name="WorkLocation" xr10:uid="{626336E9-15D2-41E4-A67B-129432DB40F0}" cache="Slicer_WorkLocation" caption="WorkLocation" style="SlicerStyleLight2" rowHeight="21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71B3F80-C426-41BF-8423-ECA7227F801A}" cache="Slicer_Gender" caption="Gender" columnCount="2" rowHeight="216000"/>
  <slicer name="Department 1" xr10:uid="{2A3AEC50-B17A-4F93-B011-C5A714420D8C}" cache="Slicer_Department" caption="Department" rowHeight="216000"/>
  <slicer name="Attrition 1" xr10:uid="{176AAC86-8FD4-4FB5-8496-F2EF3701FC3B}" cache="Slicer_Attrition" caption="Attrition" columnCount="2" rowHeight="180000"/>
  <slicer name="WorkLocation 1" xr10:uid="{7201C0C5-22A0-424A-A747-18394B078687}" cache="Slicer_WorkLocation" caption="WorkLocation" rowHeight="216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D62448D6-FAA3-417C-9B6C-10B2D400C270}" cache="Slicer_Gender" caption="Gender" columnCount="2" style="SlicerStyleLight2" rowHeight="216000"/>
  <slicer name="Department 2" xr10:uid="{3A9DE2D1-3EB9-464B-A63B-C385D448DABC}" cache="Slicer_Department" caption="Department" style="SlicerStyleLight2" rowHeight="216000"/>
  <slicer name="Attrition 2" xr10:uid="{C25EE2EB-ED2D-4238-913B-F294E067FE2F}" cache="Slicer_Attrition" caption="Attrition" columnCount="2" style="SlicerStyleLight2" rowHeight="180000"/>
  <slicer name="WorkLocation 2" xr10:uid="{D54BC9AB-1109-4F29-87C5-7C8BA942BE15}" cache="Slicer_WorkLocation" caption="WorkLocation" style="SlicerStyleLight2" rowHeight="216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26560A7E-59FD-428D-AE4E-75984B5636B9}" cache="Slicer_Gender" caption="Gender" columnCount="2" style="SlicerStyleLight2" rowHeight="216000"/>
  <slicer name="Department 3" xr10:uid="{CFC127C1-B027-4B97-915A-0A182BF41E27}" cache="Slicer_Department" caption="Department" style="SlicerStyleLight2" rowHeight="216000"/>
  <slicer name="Attrition 3" xr10:uid="{8CC4C04A-0098-4223-B0C2-F7AF806252F8}" cache="Slicer_Attrition" caption="Attrition" columnCount="2" style="SlicerStyleLight2" rowHeight="180000"/>
  <slicer name="WorkLocation 3" xr10:uid="{925B2A18-AD45-404F-A67C-8288727664FD}" cache="Slicer_WorkLocation" caption="WorkLocation" style="SlicerStyleLight2" rowHeight="216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8D3725DD-37C0-4393-BC4E-D37AAE2F3798}" cache="Slicer_Gender" caption="Gender" columnCount="2" style="SlicerStyleLight2" rowHeight="216000"/>
  <slicer name="Department 4" xr10:uid="{CC70BF9D-C402-42D1-B391-F75A0CC8C63F}" cache="Slicer_Department" caption="Department" style="SlicerStyleLight2" rowHeight="216000"/>
  <slicer name="Attrition 4" xr10:uid="{7E9FD664-931A-4B4E-B9FD-06D1465A107C}" cache="Slicer_Attrition" caption="Attrition" columnCount="2" style="SlicerStyleLight2" rowHeight="180000"/>
  <slicer name="WorkLocation 4" xr10:uid="{F73D304B-5B9B-4F51-ADF7-47A7C05E6458}" cache="Slicer_WorkLocation" caption="WorkLocation" style="SlicerStyleLight2" rowHeight="2160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5" xr10:uid="{647D93FF-4A78-4B7C-8C49-3F89AE3A9A8E}" cache="Slicer_Gender" caption="Gender" columnCount="2" style="SlicerStyleLight2" rowHeight="216000"/>
  <slicer name="Department 5" xr10:uid="{D7514FBF-6E29-46AA-BE4D-0A29178C0A87}" cache="Slicer_Department" caption="Department" style="SlicerStyleLight2" rowHeight="216000"/>
  <slicer name="Attrition 5" xr10:uid="{08C8382E-5E79-472A-A058-747456B35317}" cache="Slicer_Attrition" caption="Attrition" columnCount="2" style="SlicerStyleLight2" rowHeight="180000"/>
  <slicer name="WorkLocation 5" xr10:uid="{6D7A2257-3671-46AB-A481-81E22BEBB5EF}" cache="Slicer_WorkLocation" caption="WorkLocation" style="SlicerStyleLight2"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AD75C3-A252-44F1-922D-5E3733659940}" name="Table1" displayName="Table1" ref="A1:M301" totalsRowShown="0">
  <autoFilter ref="A1:M301" xr:uid="{6CAD75C3-A252-44F1-922D-5E3733659940}"/>
  <tableColumns count="13">
    <tableColumn id="1" xr3:uid="{FF595DEE-3878-4C42-AE7E-2FEEFA4C3B64}" name="EmployeeID"/>
    <tableColumn id="2" xr3:uid="{D726633C-B5CE-4DB6-BDF9-D441CFF6386F}" name="EmployeeName"/>
    <tableColumn id="3" xr3:uid="{90B4CB85-937C-4554-97CE-D616C1B0B2A5}" name="Gender"/>
    <tableColumn id="4" xr3:uid="{1F3F0493-1576-4243-8571-58427498F3A0}" name="Age"/>
    <tableColumn id="5" xr3:uid="{5544418E-1E26-4CBA-8E6D-C7840398AB63}" name="Department"/>
    <tableColumn id="6" xr3:uid="{4F09E3D3-DA5E-4B99-A880-4B05BD9E28CD}" name="JobRole"/>
    <tableColumn id="7" xr3:uid="{FCF2A24E-5C62-48F8-B16A-3B45AA1397E8}" name="Education"/>
    <tableColumn id="8" xr3:uid="{5B448BBC-DE00-4849-A94A-46D17A961F1A}" name="ExperienceYears"/>
    <tableColumn id="9" xr3:uid="{6DB26139-178D-488B-A72D-AA6D4CD81CF0}" name="Salary" dataDxfId="3"/>
    <tableColumn id="10" xr3:uid="{2BBDE3A0-7BDC-4FC5-8845-9E9C3ED7EB73}" name="PerformanceRating"/>
    <tableColumn id="11" xr3:uid="{5CB3FF4C-EC88-403D-BAA0-337C53E0CE09}" name="Attrition"/>
    <tableColumn id="12" xr3:uid="{BDCD10D1-0CC5-4B93-B355-34DDA5A0F7E9}" name="WorkLocation"/>
    <tableColumn id="13" xr3:uid="{397FAAD3-D58D-477F-B739-B82775D8FCF2}" name="Joining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2CF79-C657-4213-BBCD-CCBD6A299435}">
  <dimension ref="A1:O301"/>
  <sheetViews>
    <sheetView tabSelected="1" workbookViewId="0">
      <selection activeCell="I6" sqref="I6"/>
    </sheetView>
  </sheetViews>
  <sheetFormatPr defaultRowHeight="14.4" x14ac:dyDescent="0.3"/>
  <cols>
    <col min="1" max="1" width="14.109375" customWidth="1"/>
    <col min="2" max="2" width="17.44140625" customWidth="1"/>
    <col min="3" max="3" width="9.88671875" customWidth="1"/>
    <col min="5" max="5" width="14" customWidth="1"/>
    <col min="6" max="6" width="21" bestFit="1" customWidth="1"/>
    <col min="7" max="7" width="12.109375" customWidth="1"/>
    <col min="8" max="8" width="18.33203125" customWidth="1"/>
    <col min="9" max="9" width="13.109375" style="1" bestFit="1" customWidth="1"/>
    <col min="10" max="10" width="20.44140625" customWidth="1"/>
    <col min="11" max="11" width="10.5546875" customWidth="1"/>
    <col min="12" max="12" width="15.5546875" customWidth="1"/>
    <col min="13" max="13" width="13.44140625" customWidth="1"/>
    <col min="15" max="15" width="13.109375" bestFit="1" customWidth="1"/>
  </cols>
  <sheetData>
    <row r="1" spans="1:15" x14ac:dyDescent="0.3">
      <c r="A1" t="s">
        <v>0</v>
      </c>
      <c r="B1" t="s">
        <v>1</v>
      </c>
      <c r="C1" t="s">
        <v>2</v>
      </c>
      <c r="D1" t="s">
        <v>3</v>
      </c>
      <c r="E1" t="s">
        <v>4</v>
      </c>
      <c r="F1" t="s">
        <v>5</v>
      </c>
      <c r="G1" t="s">
        <v>6</v>
      </c>
      <c r="H1" t="s">
        <v>7</v>
      </c>
      <c r="I1" s="1" t="s">
        <v>8</v>
      </c>
      <c r="J1" t="s">
        <v>9</v>
      </c>
      <c r="K1" t="s">
        <v>10</v>
      </c>
      <c r="L1" t="s">
        <v>11</v>
      </c>
      <c r="M1" t="s">
        <v>12</v>
      </c>
    </row>
    <row r="2" spans="1:15" x14ac:dyDescent="0.3">
      <c r="A2" t="s">
        <v>13</v>
      </c>
      <c r="B2" t="s">
        <v>14</v>
      </c>
      <c r="C2" t="s">
        <v>15</v>
      </c>
      <c r="D2">
        <v>26</v>
      </c>
      <c r="E2" t="s">
        <v>16</v>
      </c>
      <c r="F2" t="s">
        <v>17</v>
      </c>
      <c r="G2" t="s">
        <v>18</v>
      </c>
      <c r="H2">
        <v>3</v>
      </c>
      <c r="I2" s="1">
        <v>45000</v>
      </c>
      <c r="J2">
        <v>3</v>
      </c>
      <c r="K2" t="s">
        <v>19</v>
      </c>
      <c r="L2" t="s">
        <v>20</v>
      </c>
      <c r="M2">
        <v>2022</v>
      </c>
    </row>
    <row r="3" spans="1:15" x14ac:dyDescent="0.3">
      <c r="A3" t="s">
        <v>21</v>
      </c>
      <c r="B3" t="s">
        <v>22</v>
      </c>
      <c r="C3" t="s">
        <v>23</v>
      </c>
      <c r="D3">
        <v>29</v>
      </c>
      <c r="E3" t="s">
        <v>24</v>
      </c>
      <c r="F3" t="s">
        <v>25</v>
      </c>
      <c r="G3" t="s">
        <v>26</v>
      </c>
      <c r="H3">
        <v>6</v>
      </c>
      <c r="I3" s="1">
        <v>52000</v>
      </c>
      <c r="J3">
        <v>4</v>
      </c>
      <c r="K3" t="s">
        <v>19</v>
      </c>
      <c r="L3" t="s">
        <v>27</v>
      </c>
      <c r="M3">
        <v>2019</v>
      </c>
    </row>
    <row r="4" spans="1:15" x14ac:dyDescent="0.3">
      <c r="A4" t="s">
        <v>28</v>
      </c>
      <c r="B4" t="s">
        <v>29</v>
      </c>
      <c r="C4" t="s">
        <v>15</v>
      </c>
      <c r="D4">
        <v>35</v>
      </c>
      <c r="E4" t="s">
        <v>30</v>
      </c>
      <c r="F4" t="s">
        <v>31</v>
      </c>
      <c r="G4" t="s">
        <v>18</v>
      </c>
      <c r="H4">
        <v>10</v>
      </c>
      <c r="I4" s="1">
        <v>68000</v>
      </c>
      <c r="J4">
        <v>4</v>
      </c>
      <c r="K4" t="s">
        <v>19</v>
      </c>
      <c r="L4" t="s">
        <v>32</v>
      </c>
      <c r="M4">
        <v>2015</v>
      </c>
    </row>
    <row r="5" spans="1:15" x14ac:dyDescent="0.3">
      <c r="A5" t="s">
        <v>33</v>
      </c>
      <c r="B5" t="s">
        <v>34</v>
      </c>
      <c r="C5" t="s">
        <v>23</v>
      </c>
      <c r="D5">
        <v>24</v>
      </c>
      <c r="E5" t="s">
        <v>16</v>
      </c>
      <c r="F5" t="s">
        <v>35</v>
      </c>
      <c r="G5" t="s">
        <v>18</v>
      </c>
      <c r="H5">
        <v>2</v>
      </c>
      <c r="I5" s="1">
        <v>38000</v>
      </c>
      <c r="J5">
        <v>3</v>
      </c>
      <c r="K5" t="s">
        <v>19</v>
      </c>
      <c r="L5" t="s">
        <v>36</v>
      </c>
      <c r="M5">
        <v>2023</v>
      </c>
    </row>
    <row r="6" spans="1:15" x14ac:dyDescent="0.3">
      <c r="A6" t="s">
        <v>37</v>
      </c>
      <c r="B6" t="s">
        <v>38</v>
      </c>
      <c r="C6" t="s">
        <v>15</v>
      </c>
      <c r="D6">
        <v>41</v>
      </c>
      <c r="E6" t="s">
        <v>39</v>
      </c>
      <c r="F6" t="s">
        <v>40</v>
      </c>
      <c r="G6" t="s">
        <v>26</v>
      </c>
      <c r="H6">
        <v>16</v>
      </c>
      <c r="I6" s="1">
        <v>95000</v>
      </c>
      <c r="J6">
        <v>5</v>
      </c>
      <c r="K6" t="s">
        <v>19</v>
      </c>
      <c r="L6" t="s">
        <v>20</v>
      </c>
      <c r="M6">
        <v>2009</v>
      </c>
    </row>
    <row r="7" spans="1:15" x14ac:dyDescent="0.3">
      <c r="A7" t="s">
        <v>41</v>
      </c>
      <c r="B7" t="s">
        <v>42</v>
      </c>
      <c r="C7" t="s">
        <v>23</v>
      </c>
      <c r="D7">
        <v>31</v>
      </c>
      <c r="E7" t="s">
        <v>43</v>
      </c>
      <c r="F7" t="s">
        <v>44</v>
      </c>
      <c r="G7" t="s">
        <v>18</v>
      </c>
      <c r="H7">
        <v>8</v>
      </c>
      <c r="I7" s="1">
        <v>60000</v>
      </c>
      <c r="J7">
        <v>4</v>
      </c>
      <c r="K7" t="s">
        <v>19</v>
      </c>
      <c r="L7" t="s">
        <v>45</v>
      </c>
      <c r="M7">
        <v>2017</v>
      </c>
    </row>
    <row r="8" spans="1:15" x14ac:dyDescent="0.3">
      <c r="A8" t="s">
        <v>46</v>
      </c>
      <c r="B8" t="s">
        <v>47</v>
      </c>
      <c r="C8" t="s">
        <v>15</v>
      </c>
      <c r="D8">
        <v>28</v>
      </c>
      <c r="E8" t="s">
        <v>48</v>
      </c>
      <c r="F8" t="s">
        <v>49</v>
      </c>
      <c r="G8" t="s">
        <v>18</v>
      </c>
      <c r="H8">
        <v>5</v>
      </c>
      <c r="I8" s="1">
        <v>55000</v>
      </c>
      <c r="J8">
        <v>3</v>
      </c>
      <c r="K8" t="s">
        <v>50</v>
      </c>
      <c r="L8" t="s">
        <v>51</v>
      </c>
      <c r="M8">
        <v>2020</v>
      </c>
      <c r="O8" s="1"/>
    </row>
    <row r="9" spans="1:15" x14ac:dyDescent="0.3">
      <c r="A9" t="s">
        <v>52</v>
      </c>
      <c r="B9" t="s">
        <v>53</v>
      </c>
      <c r="C9" t="s">
        <v>23</v>
      </c>
      <c r="D9">
        <v>34</v>
      </c>
      <c r="E9" t="s">
        <v>24</v>
      </c>
      <c r="F9" t="s">
        <v>54</v>
      </c>
      <c r="G9" t="s">
        <v>26</v>
      </c>
      <c r="H9">
        <v>11</v>
      </c>
      <c r="I9" s="1">
        <v>78000</v>
      </c>
      <c r="J9">
        <v>5</v>
      </c>
      <c r="K9" t="s">
        <v>19</v>
      </c>
      <c r="L9" t="s">
        <v>32</v>
      </c>
      <c r="M9">
        <v>2014</v>
      </c>
    </row>
    <row r="10" spans="1:15" x14ac:dyDescent="0.3">
      <c r="A10" t="s">
        <v>55</v>
      </c>
      <c r="B10" t="s">
        <v>56</v>
      </c>
      <c r="C10" t="s">
        <v>15</v>
      </c>
      <c r="D10">
        <v>23</v>
      </c>
      <c r="E10" t="s">
        <v>16</v>
      </c>
      <c r="F10" t="s">
        <v>57</v>
      </c>
      <c r="G10" t="s">
        <v>58</v>
      </c>
      <c r="H10">
        <v>1</v>
      </c>
      <c r="I10" s="1">
        <v>22000</v>
      </c>
      <c r="J10">
        <v>2</v>
      </c>
      <c r="K10" t="s">
        <v>50</v>
      </c>
      <c r="L10" t="s">
        <v>20</v>
      </c>
      <c r="M10">
        <v>2024</v>
      </c>
    </row>
    <row r="11" spans="1:15" x14ac:dyDescent="0.3">
      <c r="A11" t="s">
        <v>59</v>
      </c>
      <c r="B11" t="s">
        <v>60</v>
      </c>
      <c r="C11" t="s">
        <v>23</v>
      </c>
      <c r="D11">
        <v>37</v>
      </c>
      <c r="E11" t="s">
        <v>30</v>
      </c>
      <c r="F11" t="s">
        <v>61</v>
      </c>
      <c r="G11" t="s">
        <v>26</v>
      </c>
      <c r="H11">
        <v>14</v>
      </c>
      <c r="I11" s="1">
        <v>98000</v>
      </c>
      <c r="J11">
        <v>5</v>
      </c>
      <c r="K11" t="s">
        <v>19</v>
      </c>
      <c r="L11" t="s">
        <v>45</v>
      </c>
      <c r="M11">
        <v>2011</v>
      </c>
    </row>
    <row r="12" spans="1:15" x14ac:dyDescent="0.3">
      <c r="A12" t="s">
        <v>62</v>
      </c>
      <c r="B12" t="s">
        <v>63</v>
      </c>
      <c r="C12" t="s">
        <v>15</v>
      </c>
      <c r="D12">
        <v>30</v>
      </c>
      <c r="E12" t="s">
        <v>16</v>
      </c>
      <c r="F12" t="s">
        <v>17</v>
      </c>
      <c r="G12" t="s">
        <v>18</v>
      </c>
      <c r="H12">
        <v>7</v>
      </c>
      <c r="I12" s="1">
        <v>65000</v>
      </c>
      <c r="J12">
        <v>4</v>
      </c>
      <c r="K12" t="s">
        <v>19</v>
      </c>
      <c r="L12" t="s">
        <v>36</v>
      </c>
      <c r="M12">
        <v>2018</v>
      </c>
    </row>
    <row r="13" spans="1:15" x14ac:dyDescent="0.3">
      <c r="A13" t="s">
        <v>64</v>
      </c>
      <c r="B13" t="s">
        <v>65</v>
      </c>
      <c r="C13" t="s">
        <v>23</v>
      </c>
      <c r="D13">
        <v>27</v>
      </c>
      <c r="E13" t="s">
        <v>43</v>
      </c>
      <c r="F13" t="s">
        <v>44</v>
      </c>
      <c r="G13" t="s">
        <v>18</v>
      </c>
      <c r="H13">
        <v>4</v>
      </c>
      <c r="I13" s="1">
        <v>48000</v>
      </c>
      <c r="J13">
        <v>3</v>
      </c>
      <c r="K13" t="s">
        <v>50</v>
      </c>
      <c r="L13" t="s">
        <v>27</v>
      </c>
      <c r="M13">
        <v>2021</v>
      </c>
    </row>
    <row r="14" spans="1:15" x14ac:dyDescent="0.3">
      <c r="A14" t="s">
        <v>66</v>
      </c>
      <c r="B14" t="s">
        <v>67</v>
      </c>
      <c r="C14" t="s">
        <v>15</v>
      </c>
      <c r="D14">
        <v>45</v>
      </c>
      <c r="E14" t="s">
        <v>39</v>
      </c>
      <c r="F14" t="s">
        <v>68</v>
      </c>
      <c r="G14" t="s">
        <v>26</v>
      </c>
      <c r="H14">
        <v>20</v>
      </c>
      <c r="I14" s="1">
        <v>120000</v>
      </c>
      <c r="J14">
        <v>5</v>
      </c>
      <c r="K14" t="s">
        <v>19</v>
      </c>
      <c r="L14" t="s">
        <v>51</v>
      </c>
      <c r="M14">
        <v>2005</v>
      </c>
    </row>
    <row r="15" spans="1:15" x14ac:dyDescent="0.3">
      <c r="A15" t="s">
        <v>69</v>
      </c>
      <c r="B15" t="s">
        <v>70</v>
      </c>
      <c r="C15" t="s">
        <v>23</v>
      </c>
      <c r="D15">
        <v>32</v>
      </c>
      <c r="E15" t="s">
        <v>48</v>
      </c>
      <c r="F15" t="s">
        <v>71</v>
      </c>
      <c r="G15" t="s">
        <v>72</v>
      </c>
      <c r="H15">
        <v>9</v>
      </c>
      <c r="I15" s="1">
        <v>62000</v>
      </c>
      <c r="J15">
        <v>4</v>
      </c>
      <c r="K15" t="s">
        <v>19</v>
      </c>
      <c r="L15" t="s">
        <v>20</v>
      </c>
      <c r="M15">
        <v>2016</v>
      </c>
    </row>
    <row r="16" spans="1:15" x14ac:dyDescent="0.3">
      <c r="A16" t="s">
        <v>73</v>
      </c>
      <c r="B16" t="s">
        <v>74</v>
      </c>
      <c r="C16" t="s">
        <v>15</v>
      </c>
      <c r="D16">
        <v>39</v>
      </c>
      <c r="E16" t="s">
        <v>16</v>
      </c>
      <c r="F16" t="s">
        <v>75</v>
      </c>
      <c r="G16" t="s">
        <v>72</v>
      </c>
      <c r="H16">
        <v>15</v>
      </c>
      <c r="I16" s="1">
        <v>105000</v>
      </c>
      <c r="J16">
        <v>5</v>
      </c>
      <c r="K16" t="s">
        <v>19</v>
      </c>
      <c r="L16" t="s">
        <v>32</v>
      </c>
      <c r="M16">
        <v>2010</v>
      </c>
    </row>
    <row r="17" spans="1:13" x14ac:dyDescent="0.3">
      <c r="A17" t="s">
        <v>76</v>
      </c>
      <c r="B17" t="s">
        <v>77</v>
      </c>
      <c r="C17" t="s">
        <v>23</v>
      </c>
      <c r="D17">
        <v>25</v>
      </c>
      <c r="E17" t="s">
        <v>24</v>
      </c>
      <c r="F17" t="s">
        <v>78</v>
      </c>
      <c r="G17" t="s">
        <v>18</v>
      </c>
      <c r="H17">
        <v>2</v>
      </c>
      <c r="I17" s="1">
        <v>36000</v>
      </c>
      <c r="J17">
        <v>3</v>
      </c>
      <c r="K17" t="s">
        <v>50</v>
      </c>
      <c r="L17" t="s">
        <v>36</v>
      </c>
      <c r="M17">
        <v>2023</v>
      </c>
    </row>
    <row r="18" spans="1:13" x14ac:dyDescent="0.3">
      <c r="A18" t="s">
        <v>79</v>
      </c>
      <c r="B18" t="s">
        <v>80</v>
      </c>
      <c r="C18" t="s">
        <v>15</v>
      </c>
      <c r="D18">
        <v>34</v>
      </c>
      <c r="E18" t="s">
        <v>30</v>
      </c>
      <c r="F18" t="s">
        <v>81</v>
      </c>
      <c r="G18" t="s">
        <v>72</v>
      </c>
      <c r="H18">
        <v>11</v>
      </c>
      <c r="I18" s="1">
        <v>72000</v>
      </c>
      <c r="J18">
        <v>4</v>
      </c>
      <c r="K18" t="s">
        <v>19</v>
      </c>
      <c r="L18" t="s">
        <v>45</v>
      </c>
      <c r="M18">
        <v>2014</v>
      </c>
    </row>
    <row r="19" spans="1:13" x14ac:dyDescent="0.3">
      <c r="A19" t="s">
        <v>82</v>
      </c>
      <c r="B19" t="s">
        <v>83</v>
      </c>
      <c r="C19" t="s">
        <v>23</v>
      </c>
      <c r="D19">
        <v>29</v>
      </c>
      <c r="E19" t="s">
        <v>16</v>
      </c>
      <c r="F19" t="s">
        <v>84</v>
      </c>
      <c r="G19" t="s">
        <v>18</v>
      </c>
      <c r="H19">
        <v>6</v>
      </c>
      <c r="I19" s="1">
        <v>58000</v>
      </c>
      <c r="J19">
        <v>4</v>
      </c>
      <c r="K19" t="s">
        <v>19</v>
      </c>
      <c r="L19" t="s">
        <v>51</v>
      </c>
      <c r="M19">
        <v>2019</v>
      </c>
    </row>
    <row r="20" spans="1:13" x14ac:dyDescent="0.3">
      <c r="A20" t="s">
        <v>85</v>
      </c>
      <c r="B20" t="s">
        <v>86</v>
      </c>
      <c r="C20" t="s">
        <v>15</v>
      </c>
      <c r="D20">
        <v>42</v>
      </c>
      <c r="E20" t="s">
        <v>43</v>
      </c>
      <c r="F20" t="s">
        <v>87</v>
      </c>
      <c r="G20" t="s">
        <v>26</v>
      </c>
      <c r="H20">
        <v>18</v>
      </c>
      <c r="I20" s="1">
        <v>110000</v>
      </c>
      <c r="J20">
        <v>5</v>
      </c>
      <c r="K20" t="s">
        <v>19</v>
      </c>
      <c r="L20" t="s">
        <v>20</v>
      </c>
      <c r="M20">
        <v>2008</v>
      </c>
    </row>
    <row r="21" spans="1:13" x14ac:dyDescent="0.3">
      <c r="A21" t="s">
        <v>88</v>
      </c>
      <c r="B21" t="s">
        <v>89</v>
      </c>
      <c r="C21" t="s">
        <v>23</v>
      </c>
      <c r="D21">
        <v>26</v>
      </c>
      <c r="E21" t="s">
        <v>48</v>
      </c>
      <c r="F21" t="s">
        <v>90</v>
      </c>
      <c r="G21" t="s">
        <v>18</v>
      </c>
      <c r="H21">
        <v>3</v>
      </c>
      <c r="I21" s="1">
        <v>42000</v>
      </c>
      <c r="J21">
        <v>3</v>
      </c>
      <c r="K21" t="s">
        <v>50</v>
      </c>
      <c r="L21" t="s">
        <v>27</v>
      </c>
      <c r="M21">
        <v>2022</v>
      </c>
    </row>
    <row r="22" spans="1:13" x14ac:dyDescent="0.3">
      <c r="A22" t="s">
        <v>91</v>
      </c>
      <c r="B22" t="s">
        <v>92</v>
      </c>
      <c r="C22" t="s">
        <v>15</v>
      </c>
      <c r="D22">
        <v>33</v>
      </c>
      <c r="E22" t="s">
        <v>39</v>
      </c>
      <c r="F22" t="s">
        <v>93</v>
      </c>
      <c r="G22" t="s">
        <v>58</v>
      </c>
      <c r="H22">
        <v>10</v>
      </c>
      <c r="I22" s="1">
        <v>56000</v>
      </c>
      <c r="J22">
        <v>4</v>
      </c>
      <c r="K22" t="s">
        <v>19</v>
      </c>
      <c r="L22" t="s">
        <v>36</v>
      </c>
      <c r="M22">
        <v>2015</v>
      </c>
    </row>
    <row r="23" spans="1:13" x14ac:dyDescent="0.3">
      <c r="A23" t="s">
        <v>94</v>
      </c>
      <c r="B23" t="s">
        <v>95</v>
      </c>
      <c r="C23" t="s">
        <v>23</v>
      </c>
      <c r="D23">
        <v>35</v>
      </c>
      <c r="E23" t="s">
        <v>30</v>
      </c>
      <c r="F23" t="s">
        <v>96</v>
      </c>
      <c r="G23" t="s">
        <v>26</v>
      </c>
      <c r="H23">
        <v>12</v>
      </c>
      <c r="I23" s="1">
        <v>82000</v>
      </c>
      <c r="J23">
        <v>5</v>
      </c>
      <c r="K23" t="s">
        <v>19</v>
      </c>
      <c r="L23" t="s">
        <v>32</v>
      </c>
      <c r="M23">
        <v>2013</v>
      </c>
    </row>
    <row r="24" spans="1:13" x14ac:dyDescent="0.3">
      <c r="A24" t="s">
        <v>97</v>
      </c>
      <c r="B24" t="s">
        <v>98</v>
      </c>
      <c r="C24" t="s">
        <v>15</v>
      </c>
      <c r="D24">
        <v>28</v>
      </c>
      <c r="E24" t="s">
        <v>16</v>
      </c>
      <c r="F24" t="s">
        <v>99</v>
      </c>
      <c r="G24" t="s">
        <v>18</v>
      </c>
      <c r="H24">
        <v>5</v>
      </c>
      <c r="I24" s="1">
        <v>52000</v>
      </c>
      <c r="J24">
        <v>3</v>
      </c>
      <c r="K24" t="s">
        <v>19</v>
      </c>
      <c r="L24" t="s">
        <v>45</v>
      </c>
      <c r="M24">
        <v>2020</v>
      </c>
    </row>
    <row r="25" spans="1:13" x14ac:dyDescent="0.3">
      <c r="A25" t="s">
        <v>100</v>
      </c>
      <c r="B25" t="s">
        <v>101</v>
      </c>
      <c r="C25" t="s">
        <v>23</v>
      </c>
      <c r="D25">
        <v>40</v>
      </c>
      <c r="E25" t="s">
        <v>24</v>
      </c>
      <c r="F25" t="s">
        <v>102</v>
      </c>
      <c r="G25" t="s">
        <v>26</v>
      </c>
      <c r="H25">
        <v>17</v>
      </c>
      <c r="I25" s="1">
        <v>90000</v>
      </c>
      <c r="J25">
        <v>5</v>
      </c>
      <c r="K25" t="s">
        <v>19</v>
      </c>
      <c r="L25" t="s">
        <v>20</v>
      </c>
      <c r="M25">
        <v>2007</v>
      </c>
    </row>
    <row r="26" spans="1:13" x14ac:dyDescent="0.3">
      <c r="A26" t="s">
        <v>103</v>
      </c>
      <c r="B26" t="s">
        <v>104</v>
      </c>
      <c r="C26" t="s">
        <v>15</v>
      </c>
      <c r="D26">
        <v>31</v>
      </c>
      <c r="E26" t="s">
        <v>43</v>
      </c>
      <c r="F26" t="s">
        <v>105</v>
      </c>
      <c r="G26" t="s">
        <v>26</v>
      </c>
      <c r="H26">
        <v>8</v>
      </c>
      <c r="I26" s="1">
        <v>75000</v>
      </c>
      <c r="J26">
        <v>4</v>
      </c>
      <c r="K26" t="s">
        <v>19</v>
      </c>
      <c r="L26" t="s">
        <v>51</v>
      </c>
      <c r="M26">
        <v>2017</v>
      </c>
    </row>
    <row r="27" spans="1:13" x14ac:dyDescent="0.3">
      <c r="A27" t="s">
        <v>106</v>
      </c>
      <c r="B27" t="s">
        <v>107</v>
      </c>
      <c r="C27" t="s">
        <v>23</v>
      </c>
      <c r="D27">
        <v>27</v>
      </c>
      <c r="E27" t="s">
        <v>16</v>
      </c>
      <c r="F27" t="s">
        <v>108</v>
      </c>
      <c r="G27" t="s">
        <v>72</v>
      </c>
      <c r="H27">
        <v>4</v>
      </c>
      <c r="I27" s="1">
        <v>60000</v>
      </c>
      <c r="J27">
        <v>4</v>
      </c>
      <c r="K27" t="s">
        <v>19</v>
      </c>
      <c r="L27" t="s">
        <v>36</v>
      </c>
      <c r="M27">
        <v>2021</v>
      </c>
    </row>
    <row r="28" spans="1:13" x14ac:dyDescent="0.3">
      <c r="A28" t="s">
        <v>109</v>
      </c>
      <c r="B28" t="s">
        <v>110</v>
      </c>
      <c r="C28" t="s">
        <v>15</v>
      </c>
      <c r="D28">
        <v>36</v>
      </c>
      <c r="E28" t="s">
        <v>39</v>
      </c>
      <c r="F28" t="s">
        <v>111</v>
      </c>
      <c r="G28" t="s">
        <v>26</v>
      </c>
      <c r="H28">
        <v>13</v>
      </c>
      <c r="I28" s="1">
        <v>88000</v>
      </c>
      <c r="J28">
        <v>5</v>
      </c>
      <c r="K28" t="s">
        <v>19</v>
      </c>
      <c r="L28" t="s">
        <v>27</v>
      </c>
      <c r="M28">
        <v>2012</v>
      </c>
    </row>
    <row r="29" spans="1:13" x14ac:dyDescent="0.3">
      <c r="A29" t="s">
        <v>112</v>
      </c>
      <c r="B29" t="s">
        <v>113</v>
      </c>
      <c r="C29" t="s">
        <v>23</v>
      </c>
      <c r="D29">
        <v>23</v>
      </c>
      <c r="E29" t="s">
        <v>48</v>
      </c>
      <c r="F29" t="s">
        <v>114</v>
      </c>
      <c r="G29" t="s">
        <v>18</v>
      </c>
      <c r="H29">
        <v>1</v>
      </c>
      <c r="I29" s="1">
        <v>25000</v>
      </c>
      <c r="J29">
        <v>2</v>
      </c>
      <c r="K29" t="s">
        <v>50</v>
      </c>
      <c r="L29" t="s">
        <v>20</v>
      </c>
      <c r="M29">
        <v>2024</v>
      </c>
    </row>
    <row r="30" spans="1:13" x14ac:dyDescent="0.3">
      <c r="A30" t="s">
        <v>115</v>
      </c>
      <c r="B30" t="s">
        <v>116</v>
      </c>
      <c r="C30" t="s">
        <v>15</v>
      </c>
      <c r="D30">
        <v>44</v>
      </c>
      <c r="E30" t="s">
        <v>30</v>
      </c>
      <c r="F30" t="s">
        <v>117</v>
      </c>
      <c r="G30" t="s">
        <v>72</v>
      </c>
      <c r="H30">
        <v>19</v>
      </c>
      <c r="I30" s="1">
        <v>115000</v>
      </c>
      <c r="J30">
        <v>5</v>
      </c>
      <c r="K30" t="s">
        <v>19</v>
      </c>
      <c r="L30" t="s">
        <v>45</v>
      </c>
      <c r="M30">
        <v>2006</v>
      </c>
    </row>
    <row r="31" spans="1:13" x14ac:dyDescent="0.3">
      <c r="A31" t="s">
        <v>118</v>
      </c>
      <c r="B31" t="s">
        <v>119</v>
      </c>
      <c r="C31" t="s">
        <v>23</v>
      </c>
      <c r="D31">
        <v>34</v>
      </c>
      <c r="E31" t="s">
        <v>16</v>
      </c>
      <c r="F31" t="s">
        <v>120</v>
      </c>
      <c r="G31" t="s">
        <v>26</v>
      </c>
      <c r="H31">
        <v>11</v>
      </c>
      <c r="I31" s="1">
        <v>70000</v>
      </c>
      <c r="J31">
        <v>4</v>
      </c>
      <c r="K31" t="s">
        <v>19</v>
      </c>
      <c r="L31" t="s">
        <v>32</v>
      </c>
      <c r="M31">
        <v>2014</v>
      </c>
    </row>
    <row r="32" spans="1:13" x14ac:dyDescent="0.3">
      <c r="A32" t="s">
        <v>121</v>
      </c>
      <c r="B32" t="s">
        <v>122</v>
      </c>
      <c r="C32" t="s">
        <v>15</v>
      </c>
      <c r="D32">
        <v>29</v>
      </c>
      <c r="E32" t="s">
        <v>43</v>
      </c>
      <c r="F32" t="s">
        <v>44</v>
      </c>
      <c r="G32" t="s">
        <v>18</v>
      </c>
      <c r="H32">
        <v>6</v>
      </c>
      <c r="I32" s="1">
        <v>54000</v>
      </c>
      <c r="J32">
        <v>3</v>
      </c>
      <c r="K32" t="s">
        <v>50</v>
      </c>
      <c r="L32" t="s">
        <v>51</v>
      </c>
      <c r="M32">
        <v>2019</v>
      </c>
    </row>
    <row r="33" spans="1:13" x14ac:dyDescent="0.3">
      <c r="A33" t="s">
        <v>123</v>
      </c>
      <c r="B33" t="s">
        <v>124</v>
      </c>
      <c r="C33" t="s">
        <v>23</v>
      </c>
      <c r="D33">
        <v>38</v>
      </c>
      <c r="E33" t="s">
        <v>24</v>
      </c>
      <c r="F33" t="s">
        <v>125</v>
      </c>
      <c r="G33" t="s">
        <v>26</v>
      </c>
      <c r="H33">
        <v>15</v>
      </c>
      <c r="I33" s="1">
        <v>86000</v>
      </c>
      <c r="J33">
        <v>5</v>
      </c>
      <c r="K33" t="s">
        <v>19</v>
      </c>
      <c r="L33" t="s">
        <v>36</v>
      </c>
      <c r="M33">
        <v>2010</v>
      </c>
    </row>
    <row r="34" spans="1:13" x14ac:dyDescent="0.3">
      <c r="A34" t="s">
        <v>126</v>
      </c>
      <c r="B34" t="s">
        <v>127</v>
      </c>
      <c r="C34" t="s">
        <v>15</v>
      </c>
      <c r="D34">
        <v>41</v>
      </c>
      <c r="E34" t="s">
        <v>39</v>
      </c>
      <c r="F34" t="s">
        <v>128</v>
      </c>
      <c r="G34" t="s">
        <v>58</v>
      </c>
      <c r="H34">
        <v>18</v>
      </c>
      <c r="I34" s="1">
        <v>92000</v>
      </c>
      <c r="J34">
        <v>4</v>
      </c>
      <c r="K34" t="s">
        <v>19</v>
      </c>
      <c r="L34" t="s">
        <v>27</v>
      </c>
      <c r="M34">
        <v>2008</v>
      </c>
    </row>
    <row r="35" spans="1:13" x14ac:dyDescent="0.3">
      <c r="A35" t="s">
        <v>129</v>
      </c>
      <c r="B35" t="s">
        <v>130</v>
      </c>
      <c r="C35" t="s">
        <v>23</v>
      </c>
      <c r="D35">
        <v>26</v>
      </c>
      <c r="E35" t="s">
        <v>16</v>
      </c>
      <c r="F35" t="s">
        <v>131</v>
      </c>
      <c r="G35" t="s">
        <v>18</v>
      </c>
      <c r="H35">
        <v>3</v>
      </c>
      <c r="I35" s="1">
        <v>46000</v>
      </c>
      <c r="J35">
        <v>3</v>
      </c>
      <c r="K35" t="s">
        <v>19</v>
      </c>
      <c r="L35" t="s">
        <v>20</v>
      </c>
      <c r="M35">
        <v>2022</v>
      </c>
    </row>
    <row r="36" spans="1:13" x14ac:dyDescent="0.3">
      <c r="A36" t="s">
        <v>132</v>
      </c>
      <c r="B36" t="s">
        <v>133</v>
      </c>
      <c r="C36" t="s">
        <v>15</v>
      </c>
      <c r="D36">
        <v>35</v>
      </c>
      <c r="E36" t="s">
        <v>30</v>
      </c>
      <c r="F36" t="s">
        <v>134</v>
      </c>
      <c r="G36" t="s">
        <v>72</v>
      </c>
      <c r="H36">
        <v>12</v>
      </c>
      <c r="I36" s="1">
        <v>78000</v>
      </c>
      <c r="J36">
        <v>4</v>
      </c>
      <c r="K36" t="s">
        <v>19</v>
      </c>
      <c r="L36" t="s">
        <v>32</v>
      </c>
      <c r="M36">
        <v>2013</v>
      </c>
    </row>
    <row r="37" spans="1:13" x14ac:dyDescent="0.3">
      <c r="A37" t="s">
        <v>135</v>
      </c>
      <c r="B37" t="s">
        <v>136</v>
      </c>
      <c r="C37" t="s">
        <v>23</v>
      </c>
      <c r="D37">
        <v>31</v>
      </c>
      <c r="E37" t="s">
        <v>43</v>
      </c>
      <c r="F37" t="s">
        <v>137</v>
      </c>
      <c r="G37" t="s">
        <v>18</v>
      </c>
      <c r="H37">
        <v>7</v>
      </c>
      <c r="I37" s="1">
        <v>50000</v>
      </c>
      <c r="J37">
        <v>3</v>
      </c>
      <c r="K37" t="s">
        <v>19</v>
      </c>
      <c r="L37" t="s">
        <v>45</v>
      </c>
      <c r="M37">
        <v>2018</v>
      </c>
    </row>
    <row r="38" spans="1:13" x14ac:dyDescent="0.3">
      <c r="A38" t="s">
        <v>138</v>
      </c>
      <c r="B38" t="s">
        <v>139</v>
      </c>
      <c r="C38" t="s">
        <v>15</v>
      </c>
      <c r="D38">
        <v>47</v>
      </c>
      <c r="E38" t="s">
        <v>39</v>
      </c>
      <c r="F38" t="s">
        <v>140</v>
      </c>
      <c r="G38" t="s">
        <v>26</v>
      </c>
      <c r="H38">
        <v>22</v>
      </c>
      <c r="I38" s="1">
        <v>140000</v>
      </c>
      <c r="J38">
        <v>5</v>
      </c>
      <c r="K38" t="s">
        <v>19</v>
      </c>
      <c r="L38" t="s">
        <v>51</v>
      </c>
      <c r="M38">
        <v>2003</v>
      </c>
    </row>
    <row r="39" spans="1:13" x14ac:dyDescent="0.3">
      <c r="A39" t="s">
        <v>141</v>
      </c>
      <c r="B39" t="s">
        <v>142</v>
      </c>
      <c r="C39" t="s">
        <v>23</v>
      </c>
      <c r="D39">
        <v>28</v>
      </c>
      <c r="E39" t="s">
        <v>48</v>
      </c>
      <c r="F39" t="s">
        <v>143</v>
      </c>
      <c r="G39" t="s">
        <v>72</v>
      </c>
      <c r="H39">
        <v>5</v>
      </c>
      <c r="I39" s="1">
        <v>58000</v>
      </c>
      <c r="J39">
        <v>4</v>
      </c>
      <c r="K39" t="s">
        <v>19</v>
      </c>
      <c r="L39" t="s">
        <v>36</v>
      </c>
      <c r="M39">
        <v>2020</v>
      </c>
    </row>
    <row r="40" spans="1:13" x14ac:dyDescent="0.3">
      <c r="A40" t="s">
        <v>144</v>
      </c>
      <c r="B40" t="s">
        <v>145</v>
      </c>
      <c r="C40" t="s">
        <v>15</v>
      </c>
      <c r="D40">
        <v>24</v>
      </c>
      <c r="E40" t="s">
        <v>16</v>
      </c>
      <c r="F40" t="s">
        <v>146</v>
      </c>
      <c r="G40" t="s">
        <v>58</v>
      </c>
      <c r="H40">
        <v>2</v>
      </c>
      <c r="I40" s="1">
        <v>30000</v>
      </c>
      <c r="J40">
        <v>3</v>
      </c>
      <c r="K40" t="s">
        <v>50</v>
      </c>
      <c r="L40" t="s">
        <v>20</v>
      </c>
      <c r="M40">
        <v>2023</v>
      </c>
    </row>
    <row r="41" spans="1:13" x14ac:dyDescent="0.3">
      <c r="A41" t="s">
        <v>147</v>
      </c>
      <c r="B41" t="s">
        <v>148</v>
      </c>
      <c r="C41" t="s">
        <v>23</v>
      </c>
      <c r="D41">
        <v>39</v>
      </c>
      <c r="E41" t="s">
        <v>30</v>
      </c>
      <c r="F41" t="s">
        <v>149</v>
      </c>
      <c r="G41" t="s">
        <v>18</v>
      </c>
      <c r="H41">
        <v>16</v>
      </c>
      <c r="I41" s="1">
        <v>82000</v>
      </c>
      <c r="J41">
        <v>4</v>
      </c>
      <c r="K41" t="s">
        <v>19</v>
      </c>
      <c r="L41" t="s">
        <v>27</v>
      </c>
      <c r="M41">
        <v>2009</v>
      </c>
    </row>
    <row r="42" spans="1:13" x14ac:dyDescent="0.3">
      <c r="A42" t="s">
        <v>150</v>
      </c>
      <c r="B42" t="s">
        <v>151</v>
      </c>
      <c r="C42" t="s">
        <v>15</v>
      </c>
      <c r="D42">
        <v>34</v>
      </c>
      <c r="E42" t="s">
        <v>43</v>
      </c>
      <c r="F42" t="s">
        <v>152</v>
      </c>
      <c r="G42" t="s">
        <v>26</v>
      </c>
      <c r="H42">
        <v>11</v>
      </c>
      <c r="I42" s="1">
        <v>90000</v>
      </c>
      <c r="J42">
        <v>5</v>
      </c>
      <c r="K42" t="s">
        <v>19</v>
      </c>
      <c r="L42" t="s">
        <v>32</v>
      </c>
      <c r="M42">
        <v>2014</v>
      </c>
    </row>
    <row r="43" spans="1:13" x14ac:dyDescent="0.3">
      <c r="A43" t="s">
        <v>153</v>
      </c>
      <c r="B43" t="s">
        <v>154</v>
      </c>
      <c r="C43" t="s">
        <v>23</v>
      </c>
      <c r="D43">
        <v>27</v>
      </c>
      <c r="E43" t="s">
        <v>24</v>
      </c>
      <c r="F43" t="s">
        <v>155</v>
      </c>
      <c r="G43" t="s">
        <v>72</v>
      </c>
      <c r="H43">
        <v>4</v>
      </c>
      <c r="I43" s="1">
        <v>45000</v>
      </c>
      <c r="J43">
        <v>3</v>
      </c>
      <c r="K43" t="s">
        <v>50</v>
      </c>
      <c r="L43" t="s">
        <v>51</v>
      </c>
      <c r="M43">
        <v>2021</v>
      </c>
    </row>
    <row r="44" spans="1:13" x14ac:dyDescent="0.3">
      <c r="A44" t="s">
        <v>156</v>
      </c>
      <c r="B44" t="s">
        <v>157</v>
      </c>
      <c r="C44" t="s">
        <v>15</v>
      </c>
      <c r="D44">
        <v>30</v>
      </c>
      <c r="E44" t="s">
        <v>16</v>
      </c>
      <c r="F44" t="s">
        <v>158</v>
      </c>
      <c r="G44" t="s">
        <v>18</v>
      </c>
      <c r="H44">
        <v>7</v>
      </c>
      <c r="I44" s="1">
        <v>68000</v>
      </c>
      <c r="J44">
        <v>4</v>
      </c>
      <c r="K44" t="s">
        <v>19</v>
      </c>
      <c r="L44" t="s">
        <v>36</v>
      </c>
      <c r="M44">
        <v>2018</v>
      </c>
    </row>
    <row r="45" spans="1:13" x14ac:dyDescent="0.3">
      <c r="A45" t="s">
        <v>159</v>
      </c>
      <c r="B45" t="s">
        <v>160</v>
      </c>
      <c r="C45" t="s">
        <v>23</v>
      </c>
      <c r="D45">
        <v>33</v>
      </c>
      <c r="E45" t="s">
        <v>48</v>
      </c>
      <c r="F45" t="s">
        <v>161</v>
      </c>
      <c r="G45" t="s">
        <v>26</v>
      </c>
      <c r="H45">
        <v>10</v>
      </c>
      <c r="I45" s="1">
        <v>75000</v>
      </c>
      <c r="J45">
        <v>4</v>
      </c>
      <c r="K45" t="s">
        <v>19</v>
      </c>
      <c r="L45" t="s">
        <v>45</v>
      </c>
      <c r="M45">
        <v>2015</v>
      </c>
    </row>
    <row r="46" spans="1:13" x14ac:dyDescent="0.3">
      <c r="A46" t="s">
        <v>162</v>
      </c>
      <c r="B46" t="s">
        <v>163</v>
      </c>
      <c r="C46" t="s">
        <v>15</v>
      </c>
      <c r="D46">
        <v>42</v>
      </c>
      <c r="E46" t="s">
        <v>39</v>
      </c>
      <c r="F46" t="s">
        <v>164</v>
      </c>
      <c r="G46" t="s">
        <v>58</v>
      </c>
      <c r="H46">
        <v>19</v>
      </c>
      <c r="I46" s="1">
        <v>85000</v>
      </c>
      <c r="J46">
        <v>4</v>
      </c>
      <c r="K46" t="s">
        <v>19</v>
      </c>
      <c r="L46" t="s">
        <v>20</v>
      </c>
      <c r="M46">
        <v>2006</v>
      </c>
    </row>
    <row r="47" spans="1:13" x14ac:dyDescent="0.3">
      <c r="A47" t="s">
        <v>165</v>
      </c>
      <c r="B47" t="s">
        <v>166</v>
      </c>
      <c r="C47" t="s">
        <v>23</v>
      </c>
      <c r="D47">
        <v>25</v>
      </c>
      <c r="E47" t="s">
        <v>30</v>
      </c>
      <c r="F47" t="s">
        <v>167</v>
      </c>
      <c r="G47" t="s">
        <v>18</v>
      </c>
      <c r="H47">
        <v>2</v>
      </c>
      <c r="I47" s="1">
        <v>34000</v>
      </c>
      <c r="J47">
        <v>3</v>
      </c>
      <c r="K47" t="s">
        <v>50</v>
      </c>
      <c r="L47" t="s">
        <v>32</v>
      </c>
      <c r="M47">
        <v>2023</v>
      </c>
    </row>
    <row r="48" spans="1:13" x14ac:dyDescent="0.3">
      <c r="A48" t="s">
        <v>168</v>
      </c>
      <c r="B48" t="s">
        <v>169</v>
      </c>
      <c r="C48" t="s">
        <v>15</v>
      </c>
      <c r="D48">
        <v>29</v>
      </c>
      <c r="E48" t="s">
        <v>16</v>
      </c>
      <c r="F48" t="s">
        <v>170</v>
      </c>
      <c r="G48" t="s">
        <v>72</v>
      </c>
      <c r="H48">
        <v>6</v>
      </c>
      <c r="I48" s="1">
        <v>72000</v>
      </c>
      <c r="J48">
        <v>4</v>
      </c>
      <c r="K48" t="s">
        <v>19</v>
      </c>
      <c r="L48" t="s">
        <v>51</v>
      </c>
      <c r="M48">
        <v>2019</v>
      </c>
    </row>
    <row r="49" spans="1:13" x14ac:dyDescent="0.3">
      <c r="A49" t="s">
        <v>171</v>
      </c>
      <c r="B49" t="s">
        <v>172</v>
      </c>
      <c r="C49" t="s">
        <v>23</v>
      </c>
      <c r="D49">
        <v>36</v>
      </c>
      <c r="E49" t="s">
        <v>24</v>
      </c>
      <c r="F49" t="s">
        <v>173</v>
      </c>
      <c r="G49" t="s">
        <v>26</v>
      </c>
      <c r="H49">
        <v>13</v>
      </c>
      <c r="I49" s="1">
        <v>80000</v>
      </c>
      <c r="J49">
        <v>4</v>
      </c>
      <c r="K49" t="s">
        <v>19</v>
      </c>
      <c r="L49" t="s">
        <v>36</v>
      </c>
      <c r="M49">
        <v>2012</v>
      </c>
    </row>
    <row r="50" spans="1:13" x14ac:dyDescent="0.3">
      <c r="A50" t="s">
        <v>174</v>
      </c>
      <c r="B50" t="s">
        <v>175</v>
      </c>
      <c r="C50" t="s">
        <v>15</v>
      </c>
      <c r="D50">
        <v>38</v>
      </c>
      <c r="E50" t="s">
        <v>43</v>
      </c>
      <c r="F50" t="s">
        <v>176</v>
      </c>
      <c r="G50" t="s">
        <v>26</v>
      </c>
      <c r="H50">
        <v>14</v>
      </c>
      <c r="I50" s="1">
        <v>95000</v>
      </c>
      <c r="J50">
        <v>5</v>
      </c>
      <c r="K50" t="s">
        <v>19</v>
      </c>
      <c r="L50" t="s">
        <v>27</v>
      </c>
      <c r="M50">
        <v>2011</v>
      </c>
    </row>
    <row r="51" spans="1:13" x14ac:dyDescent="0.3">
      <c r="A51" t="s">
        <v>177</v>
      </c>
      <c r="B51" t="s">
        <v>178</v>
      </c>
      <c r="C51" t="s">
        <v>23</v>
      </c>
      <c r="D51">
        <v>24</v>
      </c>
      <c r="E51" t="s">
        <v>48</v>
      </c>
      <c r="F51" t="s">
        <v>179</v>
      </c>
      <c r="G51" t="s">
        <v>18</v>
      </c>
      <c r="H51">
        <v>1</v>
      </c>
      <c r="I51" s="1">
        <v>28000</v>
      </c>
      <c r="J51">
        <v>2</v>
      </c>
      <c r="K51" t="s">
        <v>50</v>
      </c>
      <c r="L51" t="s">
        <v>20</v>
      </c>
      <c r="M51">
        <v>2024</v>
      </c>
    </row>
    <row r="52" spans="1:13" x14ac:dyDescent="0.3">
      <c r="A52" t="s">
        <v>180</v>
      </c>
      <c r="B52" t="s">
        <v>181</v>
      </c>
      <c r="C52" t="s">
        <v>15</v>
      </c>
      <c r="D52">
        <v>32</v>
      </c>
      <c r="E52" t="s">
        <v>16</v>
      </c>
      <c r="F52" t="s">
        <v>182</v>
      </c>
      <c r="G52" t="s">
        <v>18</v>
      </c>
      <c r="H52">
        <v>9</v>
      </c>
      <c r="I52" s="1">
        <v>78000</v>
      </c>
      <c r="J52">
        <v>4</v>
      </c>
      <c r="K52" t="s">
        <v>19</v>
      </c>
      <c r="L52" t="s">
        <v>20</v>
      </c>
      <c r="M52">
        <v>2016</v>
      </c>
    </row>
    <row r="53" spans="1:13" x14ac:dyDescent="0.3">
      <c r="A53" t="s">
        <v>183</v>
      </c>
      <c r="B53" t="s">
        <v>184</v>
      </c>
      <c r="C53" t="s">
        <v>23</v>
      </c>
      <c r="D53">
        <v>28</v>
      </c>
      <c r="E53" t="s">
        <v>24</v>
      </c>
      <c r="F53" t="s">
        <v>185</v>
      </c>
      <c r="G53" t="s">
        <v>26</v>
      </c>
      <c r="H53">
        <v>5</v>
      </c>
      <c r="I53" s="1">
        <v>52000</v>
      </c>
      <c r="J53">
        <v>3</v>
      </c>
      <c r="K53" t="s">
        <v>50</v>
      </c>
      <c r="L53" t="s">
        <v>51</v>
      </c>
      <c r="M53">
        <v>2020</v>
      </c>
    </row>
    <row r="54" spans="1:13" x14ac:dyDescent="0.3">
      <c r="A54" t="s">
        <v>186</v>
      </c>
      <c r="B54" t="s">
        <v>187</v>
      </c>
      <c r="C54" t="s">
        <v>15</v>
      </c>
      <c r="D54">
        <v>46</v>
      </c>
      <c r="E54" t="s">
        <v>30</v>
      </c>
      <c r="F54" t="s">
        <v>188</v>
      </c>
      <c r="G54" t="s">
        <v>26</v>
      </c>
      <c r="H54">
        <v>21</v>
      </c>
      <c r="I54" s="1">
        <v>125000</v>
      </c>
      <c r="J54">
        <v>5</v>
      </c>
      <c r="K54" t="s">
        <v>19</v>
      </c>
      <c r="L54" t="s">
        <v>32</v>
      </c>
      <c r="M54">
        <v>2004</v>
      </c>
    </row>
    <row r="55" spans="1:13" x14ac:dyDescent="0.3">
      <c r="A55" t="s">
        <v>189</v>
      </c>
      <c r="B55" t="s">
        <v>190</v>
      </c>
      <c r="C55" t="s">
        <v>23</v>
      </c>
      <c r="D55">
        <v>26</v>
      </c>
      <c r="E55" t="s">
        <v>43</v>
      </c>
      <c r="F55" t="s">
        <v>191</v>
      </c>
      <c r="G55" t="s">
        <v>18</v>
      </c>
      <c r="H55">
        <v>3</v>
      </c>
      <c r="I55" s="1">
        <v>42000</v>
      </c>
      <c r="J55">
        <v>3</v>
      </c>
      <c r="K55" t="s">
        <v>50</v>
      </c>
      <c r="L55" t="s">
        <v>27</v>
      </c>
      <c r="M55">
        <v>2022</v>
      </c>
    </row>
    <row r="56" spans="1:13" x14ac:dyDescent="0.3">
      <c r="A56" t="s">
        <v>192</v>
      </c>
      <c r="B56" t="s">
        <v>193</v>
      </c>
      <c r="C56" t="s">
        <v>15</v>
      </c>
      <c r="D56">
        <v>35</v>
      </c>
      <c r="E56" t="s">
        <v>48</v>
      </c>
      <c r="F56" t="s">
        <v>194</v>
      </c>
      <c r="G56" t="s">
        <v>26</v>
      </c>
      <c r="H56">
        <v>12</v>
      </c>
      <c r="I56" s="1">
        <v>85000</v>
      </c>
      <c r="J56">
        <v>4</v>
      </c>
      <c r="K56" t="s">
        <v>19</v>
      </c>
      <c r="L56" t="s">
        <v>45</v>
      </c>
      <c r="M56">
        <v>2013</v>
      </c>
    </row>
    <row r="57" spans="1:13" x14ac:dyDescent="0.3">
      <c r="A57" t="s">
        <v>195</v>
      </c>
      <c r="B57" t="s">
        <v>196</v>
      </c>
      <c r="C57" t="s">
        <v>23</v>
      </c>
      <c r="D57">
        <v>41</v>
      </c>
      <c r="E57" t="s">
        <v>39</v>
      </c>
      <c r="F57" t="s">
        <v>197</v>
      </c>
      <c r="G57" t="s">
        <v>26</v>
      </c>
      <c r="H57">
        <v>18</v>
      </c>
      <c r="I57" s="1">
        <v>98000</v>
      </c>
      <c r="J57">
        <v>5</v>
      </c>
      <c r="K57" t="s">
        <v>19</v>
      </c>
      <c r="L57" t="s">
        <v>20</v>
      </c>
      <c r="M57">
        <v>2007</v>
      </c>
    </row>
    <row r="58" spans="1:13" x14ac:dyDescent="0.3">
      <c r="A58" t="s">
        <v>198</v>
      </c>
      <c r="B58" t="s">
        <v>199</v>
      </c>
      <c r="C58" t="s">
        <v>15</v>
      </c>
      <c r="D58">
        <v>29</v>
      </c>
      <c r="E58" t="s">
        <v>16</v>
      </c>
      <c r="F58" t="s">
        <v>200</v>
      </c>
      <c r="G58" t="s">
        <v>18</v>
      </c>
      <c r="H58">
        <v>6</v>
      </c>
      <c r="I58" s="1">
        <v>64000</v>
      </c>
      <c r="J58">
        <v>4</v>
      </c>
      <c r="K58" t="s">
        <v>19</v>
      </c>
      <c r="L58" t="s">
        <v>36</v>
      </c>
      <c r="M58">
        <v>2019</v>
      </c>
    </row>
    <row r="59" spans="1:13" x14ac:dyDescent="0.3">
      <c r="A59" t="s">
        <v>201</v>
      </c>
      <c r="B59" t="s">
        <v>202</v>
      </c>
      <c r="C59" t="s">
        <v>23</v>
      </c>
      <c r="D59">
        <v>33</v>
      </c>
      <c r="E59" t="s">
        <v>30</v>
      </c>
      <c r="F59" t="s">
        <v>203</v>
      </c>
      <c r="G59" t="s">
        <v>72</v>
      </c>
      <c r="H59">
        <v>10</v>
      </c>
      <c r="I59" s="1">
        <v>70000</v>
      </c>
      <c r="J59">
        <v>4</v>
      </c>
      <c r="K59" t="s">
        <v>19</v>
      </c>
      <c r="L59" t="s">
        <v>51</v>
      </c>
      <c r="M59">
        <v>2015</v>
      </c>
    </row>
    <row r="60" spans="1:13" x14ac:dyDescent="0.3">
      <c r="A60" t="s">
        <v>204</v>
      </c>
      <c r="B60" t="s">
        <v>205</v>
      </c>
      <c r="C60" t="s">
        <v>15</v>
      </c>
      <c r="D60">
        <v>27</v>
      </c>
      <c r="E60" t="s">
        <v>24</v>
      </c>
      <c r="F60" t="s">
        <v>206</v>
      </c>
      <c r="G60" t="s">
        <v>18</v>
      </c>
      <c r="H60">
        <v>4</v>
      </c>
      <c r="I60" s="1">
        <v>40000</v>
      </c>
      <c r="J60">
        <v>3</v>
      </c>
      <c r="K60" t="s">
        <v>50</v>
      </c>
      <c r="L60" t="s">
        <v>45</v>
      </c>
      <c r="M60">
        <v>2021</v>
      </c>
    </row>
    <row r="61" spans="1:13" x14ac:dyDescent="0.3">
      <c r="A61" t="s">
        <v>207</v>
      </c>
      <c r="B61" t="s">
        <v>208</v>
      </c>
      <c r="C61" t="s">
        <v>23</v>
      </c>
      <c r="D61">
        <v>38</v>
      </c>
      <c r="E61" t="s">
        <v>43</v>
      </c>
      <c r="F61" t="s">
        <v>209</v>
      </c>
      <c r="G61" t="s">
        <v>26</v>
      </c>
      <c r="H61">
        <v>15</v>
      </c>
      <c r="I61" s="1">
        <v>115000</v>
      </c>
      <c r="J61">
        <v>5</v>
      </c>
      <c r="K61" t="s">
        <v>19</v>
      </c>
      <c r="L61" t="s">
        <v>27</v>
      </c>
      <c r="M61">
        <v>2010</v>
      </c>
    </row>
    <row r="62" spans="1:13" x14ac:dyDescent="0.3">
      <c r="A62" t="s">
        <v>210</v>
      </c>
      <c r="B62" t="s">
        <v>211</v>
      </c>
      <c r="C62" t="s">
        <v>15</v>
      </c>
      <c r="D62">
        <v>24</v>
      </c>
      <c r="E62" t="s">
        <v>16</v>
      </c>
      <c r="F62" t="s">
        <v>212</v>
      </c>
      <c r="G62" t="s">
        <v>18</v>
      </c>
      <c r="H62">
        <v>1</v>
      </c>
      <c r="I62" s="1">
        <v>26000</v>
      </c>
      <c r="J62">
        <v>2</v>
      </c>
      <c r="K62" t="s">
        <v>50</v>
      </c>
      <c r="L62" t="s">
        <v>20</v>
      </c>
      <c r="M62">
        <v>2024</v>
      </c>
    </row>
    <row r="63" spans="1:13" x14ac:dyDescent="0.3">
      <c r="A63" t="s">
        <v>213</v>
      </c>
      <c r="B63" t="s">
        <v>214</v>
      </c>
      <c r="C63" t="s">
        <v>23</v>
      </c>
      <c r="D63">
        <v>31</v>
      </c>
      <c r="E63" t="s">
        <v>48</v>
      </c>
      <c r="F63" t="s">
        <v>215</v>
      </c>
      <c r="G63" t="s">
        <v>72</v>
      </c>
      <c r="H63">
        <v>8</v>
      </c>
      <c r="I63" s="1">
        <v>68000</v>
      </c>
      <c r="J63">
        <v>4</v>
      </c>
      <c r="K63" t="s">
        <v>19</v>
      </c>
      <c r="L63" t="s">
        <v>32</v>
      </c>
      <c r="M63">
        <v>2017</v>
      </c>
    </row>
    <row r="64" spans="1:13" x14ac:dyDescent="0.3">
      <c r="A64" t="s">
        <v>216</v>
      </c>
      <c r="B64" t="s">
        <v>217</v>
      </c>
      <c r="C64" t="s">
        <v>15</v>
      </c>
      <c r="D64">
        <v>44</v>
      </c>
      <c r="E64" t="s">
        <v>39</v>
      </c>
      <c r="F64" t="s">
        <v>218</v>
      </c>
      <c r="G64" t="s">
        <v>58</v>
      </c>
      <c r="H64">
        <v>19</v>
      </c>
      <c r="I64" s="1">
        <v>92000</v>
      </c>
      <c r="J64">
        <v>4</v>
      </c>
      <c r="K64" t="s">
        <v>19</v>
      </c>
      <c r="L64" t="s">
        <v>36</v>
      </c>
      <c r="M64">
        <v>2006</v>
      </c>
    </row>
    <row r="65" spans="1:13" x14ac:dyDescent="0.3">
      <c r="A65" t="s">
        <v>219</v>
      </c>
      <c r="B65" t="s">
        <v>220</v>
      </c>
      <c r="C65" t="s">
        <v>23</v>
      </c>
      <c r="D65">
        <v>29</v>
      </c>
      <c r="E65" t="s">
        <v>30</v>
      </c>
      <c r="F65" t="s">
        <v>221</v>
      </c>
      <c r="G65" t="s">
        <v>72</v>
      </c>
      <c r="H65">
        <v>6</v>
      </c>
      <c r="I65" s="1">
        <v>72000</v>
      </c>
      <c r="J65">
        <v>4</v>
      </c>
      <c r="K65" t="s">
        <v>19</v>
      </c>
      <c r="L65" t="s">
        <v>45</v>
      </c>
      <c r="M65">
        <v>2019</v>
      </c>
    </row>
    <row r="66" spans="1:13" x14ac:dyDescent="0.3">
      <c r="A66" t="s">
        <v>222</v>
      </c>
      <c r="B66" t="s">
        <v>223</v>
      </c>
      <c r="C66" t="s">
        <v>15</v>
      </c>
      <c r="D66">
        <v>36</v>
      </c>
      <c r="E66" t="s">
        <v>16</v>
      </c>
      <c r="F66" t="s">
        <v>224</v>
      </c>
      <c r="G66" t="s">
        <v>72</v>
      </c>
      <c r="H66">
        <v>13</v>
      </c>
      <c r="I66" s="1">
        <v>88000</v>
      </c>
      <c r="J66">
        <v>5</v>
      </c>
      <c r="K66" t="s">
        <v>19</v>
      </c>
      <c r="L66" t="s">
        <v>20</v>
      </c>
      <c r="M66">
        <v>2012</v>
      </c>
    </row>
    <row r="67" spans="1:13" x14ac:dyDescent="0.3">
      <c r="A67" t="s">
        <v>225</v>
      </c>
      <c r="B67" t="s">
        <v>226</v>
      </c>
      <c r="C67" t="s">
        <v>23</v>
      </c>
      <c r="D67">
        <v>25</v>
      </c>
      <c r="E67" t="s">
        <v>24</v>
      </c>
      <c r="F67" t="s">
        <v>227</v>
      </c>
      <c r="G67" t="s">
        <v>18</v>
      </c>
      <c r="H67">
        <v>2</v>
      </c>
      <c r="I67" s="1">
        <v>32000</v>
      </c>
      <c r="J67">
        <v>3</v>
      </c>
      <c r="K67" t="s">
        <v>50</v>
      </c>
      <c r="L67" t="s">
        <v>51</v>
      </c>
      <c r="M67">
        <v>2023</v>
      </c>
    </row>
    <row r="68" spans="1:13" x14ac:dyDescent="0.3">
      <c r="A68" t="s">
        <v>228</v>
      </c>
      <c r="B68" t="s">
        <v>229</v>
      </c>
      <c r="C68" t="s">
        <v>15</v>
      </c>
      <c r="D68">
        <v>41</v>
      </c>
      <c r="E68" t="s">
        <v>43</v>
      </c>
      <c r="F68" t="s">
        <v>230</v>
      </c>
      <c r="G68" t="s">
        <v>26</v>
      </c>
      <c r="H68">
        <v>17</v>
      </c>
      <c r="I68" s="1">
        <v>120000</v>
      </c>
      <c r="J68">
        <v>5</v>
      </c>
      <c r="K68" t="s">
        <v>19</v>
      </c>
      <c r="L68" t="s">
        <v>32</v>
      </c>
      <c r="M68">
        <v>2008</v>
      </c>
    </row>
    <row r="69" spans="1:13" x14ac:dyDescent="0.3">
      <c r="A69" t="s">
        <v>231</v>
      </c>
      <c r="B69" t="s">
        <v>232</v>
      </c>
      <c r="C69" t="s">
        <v>23</v>
      </c>
      <c r="D69">
        <v>34</v>
      </c>
      <c r="E69" t="s">
        <v>48</v>
      </c>
      <c r="F69" t="s">
        <v>233</v>
      </c>
      <c r="G69" t="s">
        <v>72</v>
      </c>
      <c r="H69">
        <v>11</v>
      </c>
      <c r="I69" s="1">
        <v>76000</v>
      </c>
      <c r="J69">
        <v>4</v>
      </c>
      <c r="K69" t="s">
        <v>19</v>
      </c>
      <c r="L69" t="s">
        <v>36</v>
      </c>
      <c r="M69">
        <v>2014</v>
      </c>
    </row>
    <row r="70" spans="1:13" x14ac:dyDescent="0.3">
      <c r="A70" t="s">
        <v>234</v>
      </c>
      <c r="B70" t="s">
        <v>235</v>
      </c>
      <c r="C70" t="s">
        <v>15</v>
      </c>
      <c r="D70">
        <v>28</v>
      </c>
      <c r="E70" t="s">
        <v>16</v>
      </c>
      <c r="F70" t="s">
        <v>236</v>
      </c>
      <c r="G70" t="s">
        <v>58</v>
      </c>
      <c r="H70">
        <v>5</v>
      </c>
      <c r="I70" s="1">
        <v>54000</v>
      </c>
      <c r="J70">
        <v>3</v>
      </c>
      <c r="K70" t="s">
        <v>19</v>
      </c>
      <c r="L70" t="s">
        <v>27</v>
      </c>
      <c r="M70">
        <v>2020</v>
      </c>
    </row>
    <row r="71" spans="1:13" x14ac:dyDescent="0.3">
      <c r="A71" t="s">
        <v>237</v>
      </c>
      <c r="B71" t="s">
        <v>238</v>
      </c>
      <c r="C71" t="s">
        <v>23</v>
      </c>
      <c r="D71">
        <v>37</v>
      </c>
      <c r="E71" t="s">
        <v>30</v>
      </c>
      <c r="F71" t="s">
        <v>239</v>
      </c>
      <c r="G71" t="s">
        <v>26</v>
      </c>
      <c r="H71">
        <v>14</v>
      </c>
      <c r="I71" s="1">
        <v>86000</v>
      </c>
      <c r="J71">
        <v>5</v>
      </c>
      <c r="K71" t="s">
        <v>19</v>
      </c>
      <c r="L71" t="s">
        <v>45</v>
      </c>
      <c r="M71">
        <v>2011</v>
      </c>
    </row>
    <row r="72" spans="1:13" x14ac:dyDescent="0.3">
      <c r="A72" t="s">
        <v>240</v>
      </c>
      <c r="B72" t="s">
        <v>241</v>
      </c>
      <c r="C72" t="s">
        <v>15</v>
      </c>
      <c r="D72">
        <v>33</v>
      </c>
      <c r="E72" t="s">
        <v>39</v>
      </c>
      <c r="F72" t="s">
        <v>242</v>
      </c>
      <c r="G72" t="s">
        <v>26</v>
      </c>
      <c r="H72">
        <v>10</v>
      </c>
      <c r="I72" s="1">
        <v>82000</v>
      </c>
      <c r="J72">
        <v>4</v>
      </c>
      <c r="K72" t="s">
        <v>19</v>
      </c>
      <c r="L72" t="s">
        <v>20</v>
      </c>
      <c r="M72">
        <v>2015</v>
      </c>
    </row>
    <row r="73" spans="1:13" x14ac:dyDescent="0.3">
      <c r="A73" t="s">
        <v>243</v>
      </c>
      <c r="B73" t="s">
        <v>244</v>
      </c>
      <c r="C73" t="s">
        <v>23</v>
      </c>
      <c r="D73">
        <v>26</v>
      </c>
      <c r="E73" t="s">
        <v>43</v>
      </c>
      <c r="F73" t="s">
        <v>245</v>
      </c>
      <c r="G73" t="s">
        <v>18</v>
      </c>
      <c r="H73">
        <v>3</v>
      </c>
      <c r="I73" s="1">
        <v>41000</v>
      </c>
      <c r="J73">
        <v>3</v>
      </c>
      <c r="K73" t="s">
        <v>50</v>
      </c>
      <c r="L73" t="s">
        <v>51</v>
      </c>
      <c r="M73">
        <v>2022</v>
      </c>
    </row>
    <row r="74" spans="1:13" x14ac:dyDescent="0.3">
      <c r="A74" t="s">
        <v>246</v>
      </c>
      <c r="B74" t="s">
        <v>247</v>
      </c>
      <c r="C74" t="s">
        <v>15</v>
      </c>
      <c r="D74">
        <v>39</v>
      </c>
      <c r="E74" t="s">
        <v>16</v>
      </c>
      <c r="F74" t="s">
        <v>248</v>
      </c>
      <c r="G74" t="s">
        <v>72</v>
      </c>
      <c r="H74">
        <v>16</v>
      </c>
      <c r="I74" s="1">
        <v>110000</v>
      </c>
      <c r="J74">
        <v>5</v>
      </c>
      <c r="K74" t="s">
        <v>19</v>
      </c>
      <c r="L74" t="s">
        <v>32</v>
      </c>
      <c r="M74">
        <v>2009</v>
      </c>
    </row>
    <row r="75" spans="1:13" x14ac:dyDescent="0.3">
      <c r="A75" t="s">
        <v>249</v>
      </c>
      <c r="B75" t="s">
        <v>250</v>
      </c>
      <c r="C75" t="s">
        <v>23</v>
      </c>
      <c r="D75">
        <v>30</v>
      </c>
      <c r="E75" t="s">
        <v>24</v>
      </c>
      <c r="F75" t="s">
        <v>251</v>
      </c>
      <c r="G75" t="s">
        <v>26</v>
      </c>
      <c r="H75">
        <v>7</v>
      </c>
      <c r="I75" s="1">
        <v>60000</v>
      </c>
      <c r="J75">
        <v>4</v>
      </c>
      <c r="K75" t="s">
        <v>19</v>
      </c>
      <c r="L75" t="s">
        <v>36</v>
      </c>
      <c r="M75">
        <v>2018</v>
      </c>
    </row>
    <row r="76" spans="1:13" x14ac:dyDescent="0.3">
      <c r="A76" t="s">
        <v>252</v>
      </c>
      <c r="B76" t="s">
        <v>253</v>
      </c>
      <c r="C76" t="s">
        <v>15</v>
      </c>
      <c r="D76">
        <v>48</v>
      </c>
      <c r="E76" t="s">
        <v>39</v>
      </c>
      <c r="F76" t="s">
        <v>254</v>
      </c>
      <c r="G76" t="s">
        <v>26</v>
      </c>
      <c r="H76">
        <v>23</v>
      </c>
      <c r="I76" s="1">
        <v>145000</v>
      </c>
      <c r="J76">
        <v>5</v>
      </c>
      <c r="K76" t="s">
        <v>19</v>
      </c>
      <c r="L76" t="s">
        <v>27</v>
      </c>
      <c r="M76">
        <v>2002</v>
      </c>
    </row>
    <row r="77" spans="1:13" x14ac:dyDescent="0.3">
      <c r="A77" t="s">
        <v>255</v>
      </c>
      <c r="B77" t="s">
        <v>256</v>
      </c>
      <c r="C77" t="s">
        <v>23</v>
      </c>
      <c r="D77">
        <v>24</v>
      </c>
      <c r="E77" t="s">
        <v>48</v>
      </c>
      <c r="F77" t="s">
        <v>257</v>
      </c>
      <c r="G77" t="s">
        <v>18</v>
      </c>
      <c r="H77">
        <v>1</v>
      </c>
      <c r="I77" s="1">
        <v>24000</v>
      </c>
      <c r="J77">
        <v>2</v>
      </c>
      <c r="K77" t="s">
        <v>50</v>
      </c>
      <c r="L77" t="s">
        <v>20</v>
      </c>
      <c r="M77">
        <v>2024</v>
      </c>
    </row>
    <row r="78" spans="1:13" x14ac:dyDescent="0.3">
      <c r="A78" t="s">
        <v>258</v>
      </c>
      <c r="B78" t="s">
        <v>259</v>
      </c>
      <c r="C78" t="s">
        <v>15</v>
      </c>
      <c r="D78">
        <v>35</v>
      </c>
      <c r="E78" t="s">
        <v>30</v>
      </c>
      <c r="F78" t="s">
        <v>260</v>
      </c>
      <c r="G78" t="s">
        <v>72</v>
      </c>
      <c r="H78">
        <v>12</v>
      </c>
      <c r="I78" s="1">
        <v>79000</v>
      </c>
      <c r="J78">
        <v>4</v>
      </c>
      <c r="K78" t="s">
        <v>19</v>
      </c>
      <c r="L78" t="s">
        <v>45</v>
      </c>
      <c r="M78">
        <v>2013</v>
      </c>
    </row>
    <row r="79" spans="1:13" x14ac:dyDescent="0.3">
      <c r="A79" t="s">
        <v>261</v>
      </c>
      <c r="B79" t="s">
        <v>262</v>
      </c>
      <c r="C79" t="s">
        <v>23</v>
      </c>
      <c r="D79">
        <v>42</v>
      </c>
      <c r="E79" t="s">
        <v>43</v>
      </c>
      <c r="F79" t="s">
        <v>263</v>
      </c>
      <c r="G79" t="s">
        <v>26</v>
      </c>
      <c r="H79">
        <v>18</v>
      </c>
      <c r="I79" s="1">
        <v>105000</v>
      </c>
      <c r="J79">
        <v>5</v>
      </c>
      <c r="K79" t="s">
        <v>19</v>
      </c>
      <c r="L79" t="s">
        <v>32</v>
      </c>
      <c r="M79">
        <v>2007</v>
      </c>
    </row>
    <row r="80" spans="1:13" x14ac:dyDescent="0.3">
      <c r="A80" t="s">
        <v>264</v>
      </c>
      <c r="B80" t="s">
        <v>265</v>
      </c>
      <c r="C80" t="s">
        <v>15</v>
      </c>
      <c r="D80">
        <v>31</v>
      </c>
      <c r="E80" t="s">
        <v>16</v>
      </c>
      <c r="F80" t="s">
        <v>266</v>
      </c>
      <c r="G80" t="s">
        <v>18</v>
      </c>
      <c r="H80">
        <v>8</v>
      </c>
      <c r="I80" s="1">
        <v>72000</v>
      </c>
      <c r="J80">
        <v>4</v>
      </c>
      <c r="K80" t="s">
        <v>19</v>
      </c>
      <c r="L80" t="s">
        <v>51</v>
      </c>
      <c r="M80">
        <v>2017</v>
      </c>
    </row>
    <row r="81" spans="1:13" x14ac:dyDescent="0.3">
      <c r="A81" t="s">
        <v>267</v>
      </c>
      <c r="B81" t="s">
        <v>268</v>
      </c>
      <c r="C81" t="s">
        <v>23</v>
      </c>
      <c r="D81">
        <v>27</v>
      </c>
      <c r="E81" t="s">
        <v>24</v>
      </c>
      <c r="F81" t="s">
        <v>269</v>
      </c>
      <c r="G81" t="s">
        <v>72</v>
      </c>
      <c r="H81">
        <v>4</v>
      </c>
      <c r="I81" s="1">
        <v>48000</v>
      </c>
      <c r="J81">
        <v>3</v>
      </c>
      <c r="K81" t="s">
        <v>50</v>
      </c>
      <c r="L81" t="s">
        <v>27</v>
      </c>
      <c r="M81">
        <v>2021</v>
      </c>
    </row>
    <row r="82" spans="1:13" x14ac:dyDescent="0.3">
      <c r="A82" t="s">
        <v>270</v>
      </c>
      <c r="B82" t="s">
        <v>271</v>
      </c>
      <c r="C82" t="s">
        <v>15</v>
      </c>
      <c r="D82">
        <v>45</v>
      </c>
      <c r="E82" t="s">
        <v>39</v>
      </c>
      <c r="F82" t="s">
        <v>272</v>
      </c>
      <c r="G82" t="s">
        <v>26</v>
      </c>
      <c r="H82">
        <v>20</v>
      </c>
      <c r="I82" s="1">
        <v>135000</v>
      </c>
      <c r="J82">
        <v>5</v>
      </c>
      <c r="K82" t="s">
        <v>19</v>
      </c>
      <c r="L82" t="s">
        <v>20</v>
      </c>
      <c r="M82">
        <v>2005</v>
      </c>
    </row>
    <row r="83" spans="1:13" x14ac:dyDescent="0.3">
      <c r="A83" t="s">
        <v>273</v>
      </c>
      <c r="B83" t="s">
        <v>274</v>
      </c>
      <c r="C83" t="s">
        <v>23</v>
      </c>
      <c r="D83">
        <v>34</v>
      </c>
      <c r="E83" t="s">
        <v>30</v>
      </c>
      <c r="F83" t="s">
        <v>275</v>
      </c>
      <c r="G83" t="s">
        <v>26</v>
      </c>
      <c r="H83">
        <v>11</v>
      </c>
      <c r="I83" s="1">
        <v>84000</v>
      </c>
      <c r="J83">
        <v>4</v>
      </c>
      <c r="K83" t="s">
        <v>19</v>
      </c>
      <c r="L83" t="s">
        <v>36</v>
      </c>
      <c r="M83">
        <v>2014</v>
      </c>
    </row>
    <row r="84" spans="1:13" x14ac:dyDescent="0.3">
      <c r="A84" t="s">
        <v>276</v>
      </c>
      <c r="B84" t="s">
        <v>277</v>
      </c>
      <c r="C84" t="s">
        <v>15</v>
      </c>
      <c r="D84">
        <v>29</v>
      </c>
      <c r="E84" t="s">
        <v>43</v>
      </c>
      <c r="F84" t="s">
        <v>278</v>
      </c>
      <c r="G84" t="s">
        <v>18</v>
      </c>
      <c r="H84">
        <v>6</v>
      </c>
      <c r="I84" s="1">
        <v>56000</v>
      </c>
      <c r="J84">
        <v>3</v>
      </c>
      <c r="K84" t="s">
        <v>50</v>
      </c>
      <c r="L84" t="s">
        <v>45</v>
      </c>
      <c r="M84">
        <v>2019</v>
      </c>
    </row>
    <row r="85" spans="1:13" x14ac:dyDescent="0.3">
      <c r="A85" t="s">
        <v>279</v>
      </c>
      <c r="B85" t="s">
        <v>280</v>
      </c>
      <c r="C85" t="s">
        <v>23</v>
      </c>
      <c r="D85">
        <v>36</v>
      </c>
      <c r="E85" t="s">
        <v>48</v>
      </c>
      <c r="F85" t="s">
        <v>281</v>
      </c>
      <c r="G85" t="s">
        <v>72</v>
      </c>
      <c r="H85">
        <v>13</v>
      </c>
      <c r="I85" s="1">
        <v>82000</v>
      </c>
      <c r="J85">
        <v>4</v>
      </c>
      <c r="K85" t="s">
        <v>19</v>
      </c>
      <c r="L85" t="s">
        <v>32</v>
      </c>
      <c r="M85">
        <v>2012</v>
      </c>
    </row>
    <row r="86" spans="1:13" x14ac:dyDescent="0.3">
      <c r="A86" t="s">
        <v>282</v>
      </c>
      <c r="B86" t="s">
        <v>283</v>
      </c>
      <c r="C86" t="s">
        <v>15</v>
      </c>
      <c r="D86">
        <v>41</v>
      </c>
      <c r="E86" t="s">
        <v>16</v>
      </c>
      <c r="F86" t="s">
        <v>284</v>
      </c>
      <c r="G86" t="s">
        <v>26</v>
      </c>
      <c r="H86">
        <v>17</v>
      </c>
      <c r="I86" s="1">
        <v>98000</v>
      </c>
      <c r="J86">
        <v>5</v>
      </c>
      <c r="K86" t="s">
        <v>19</v>
      </c>
      <c r="L86" t="s">
        <v>20</v>
      </c>
      <c r="M86">
        <v>2008</v>
      </c>
    </row>
    <row r="87" spans="1:13" x14ac:dyDescent="0.3">
      <c r="A87" t="s">
        <v>285</v>
      </c>
      <c r="B87" t="s">
        <v>286</v>
      </c>
      <c r="C87" t="s">
        <v>23</v>
      </c>
      <c r="D87">
        <v>25</v>
      </c>
      <c r="E87" t="s">
        <v>24</v>
      </c>
      <c r="F87" t="s">
        <v>287</v>
      </c>
      <c r="G87" t="s">
        <v>18</v>
      </c>
      <c r="H87">
        <v>2</v>
      </c>
      <c r="I87" s="1">
        <v>35000</v>
      </c>
      <c r="J87">
        <v>3</v>
      </c>
      <c r="K87" t="s">
        <v>50</v>
      </c>
      <c r="L87" t="s">
        <v>51</v>
      </c>
      <c r="M87">
        <v>2023</v>
      </c>
    </row>
    <row r="88" spans="1:13" x14ac:dyDescent="0.3">
      <c r="A88" t="s">
        <v>288</v>
      </c>
      <c r="B88" t="s">
        <v>289</v>
      </c>
      <c r="C88" t="s">
        <v>15</v>
      </c>
      <c r="D88">
        <v>38</v>
      </c>
      <c r="E88" t="s">
        <v>43</v>
      </c>
      <c r="F88" t="s">
        <v>290</v>
      </c>
      <c r="G88" t="s">
        <v>26</v>
      </c>
      <c r="H88">
        <v>14</v>
      </c>
      <c r="I88" s="1">
        <v>92000</v>
      </c>
      <c r="J88">
        <v>4</v>
      </c>
      <c r="K88" t="s">
        <v>19</v>
      </c>
      <c r="L88" t="s">
        <v>27</v>
      </c>
      <c r="M88">
        <v>2011</v>
      </c>
    </row>
    <row r="89" spans="1:13" x14ac:dyDescent="0.3">
      <c r="A89" t="s">
        <v>291</v>
      </c>
      <c r="B89" t="s">
        <v>292</v>
      </c>
      <c r="C89" t="s">
        <v>23</v>
      </c>
      <c r="D89">
        <v>28</v>
      </c>
      <c r="E89" t="s">
        <v>30</v>
      </c>
      <c r="F89" t="s">
        <v>293</v>
      </c>
      <c r="G89" t="s">
        <v>72</v>
      </c>
      <c r="H89">
        <v>5</v>
      </c>
      <c r="I89" s="1">
        <v>65000</v>
      </c>
      <c r="J89">
        <v>4</v>
      </c>
      <c r="K89" t="s">
        <v>19</v>
      </c>
      <c r="L89" t="s">
        <v>45</v>
      </c>
      <c r="M89">
        <v>2020</v>
      </c>
    </row>
    <row r="90" spans="1:13" x14ac:dyDescent="0.3">
      <c r="A90" t="s">
        <v>294</v>
      </c>
      <c r="B90" t="s">
        <v>74</v>
      </c>
      <c r="C90" t="s">
        <v>15</v>
      </c>
      <c r="D90">
        <v>43</v>
      </c>
      <c r="E90" t="s">
        <v>39</v>
      </c>
      <c r="F90" t="s">
        <v>295</v>
      </c>
      <c r="G90" t="s">
        <v>58</v>
      </c>
      <c r="H90">
        <v>18</v>
      </c>
      <c r="I90" s="1">
        <v>88000</v>
      </c>
      <c r="J90">
        <v>4</v>
      </c>
      <c r="K90" t="s">
        <v>19</v>
      </c>
      <c r="L90" t="s">
        <v>36</v>
      </c>
      <c r="M90">
        <v>2006</v>
      </c>
    </row>
    <row r="91" spans="1:13" x14ac:dyDescent="0.3">
      <c r="A91" t="s">
        <v>296</v>
      </c>
      <c r="B91" t="s">
        <v>297</v>
      </c>
      <c r="C91" t="s">
        <v>23</v>
      </c>
      <c r="D91">
        <v>32</v>
      </c>
      <c r="E91" t="s">
        <v>48</v>
      </c>
      <c r="F91" t="s">
        <v>298</v>
      </c>
      <c r="G91" t="s">
        <v>18</v>
      </c>
      <c r="H91">
        <v>9</v>
      </c>
      <c r="I91" s="1">
        <v>62000</v>
      </c>
      <c r="J91">
        <v>4</v>
      </c>
      <c r="K91" t="s">
        <v>19</v>
      </c>
      <c r="L91" t="s">
        <v>20</v>
      </c>
      <c r="M91">
        <v>2016</v>
      </c>
    </row>
    <row r="92" spans="1:13" x14ac:dyDescent="0.3">
      <c r="A92" t="s">
        <v>299</v>
      </c>
      <c r="B92" t="s">
        <v>300</v>
      </c>
      <c r="C92" t="s">
        <v>15</v>
      </c>
      <c r="D92">
        <v>26</v>
      </c>
      <c r="E92" t="s">
        <v>16</v>
      </c>
      <c r="F92" t="s">
        <v>301</v>
      </c>
      <c r="G92" t="s">
        <v>18</v>
      </c>
      <c r="H92">
        <v>3</v>
      </c>
      <c r="I92" s="1">
        <v>48000</v>
      </c>
      <c r="J92">
        <v>3</v>
      </c>
      <c r="K92" t="s">
        <v>50</v>
      </c>
      <c r="L92" t="s">
        <v>51</v>
      </c>
      <c r="M92">
        <v>2022</v>
      </c>
    </row>
    <row r="93" spans="1:13" x14ac:dyDescent="0.3">
      <c r="A93" t="s">
        <v>302</v>
      </c>
      <c r="B93" t="s">
        <v>303</v>
      </c>
      <c r="C93" t="s">
        <v>23</v>
      </c>
      <c r="D93">
        <v>39</v>
      </c>
      <c r="E93" t="s">
        <v>24</v>
      </c>
      <c r="F93" t="s">
        <v>304</v>
      </c>
      <c r="G93" t="s">
        <v>26</v>
      </c>
      <c r="H93">
        <v>16</v>
      </c>
      <c r="I93" s="1">
        <v>90000</v>
      </c>
      <c r="J93">
        <v>5</v>
      </c>
      <c r="K93" t="s">
        <v>19</v>
      </c>
      <c r="L93" t="s">
        <v>32</v>
      </c>
      <c r="M93">
        <v>2009</v>
      </c>
    </row>
    <row r="94" spans="1:13" x14ac:dyDescent="0.3">
      <c r="A94" t="s">
        <v>305</v>
      </c>
      <c r="B94" t="s">
        <v>306</v>
      </c>
      <c r="C94" t="s">
        <v>15</v>
      </c>
      <c r="D94">
        <v>35</v>
      </c>
      <c r="E94" t="s">
        <v>30</v>
      </c>
      <c r="F94" t="s">
        <v>307</v>
      </c>
      <c r="G94" t="s">
        <v>26</v>
      </c>
      <c r="H94">
        <v>12</v>
      </c>
      <c r="I94" s="1">
        <v>88000</v>
      </c>
      <c r="J94">
        <v>4</v>
      </c>
      <c r="K94" t="s">
        <v>19</v>
      </c>
      <c r="L94" t="s">
        <v>45</v>
      </c>
      <c r="M94">
        <v>2013</v>
      </c>
    </row>
    <row r="95" spans="1:13" x14ac:dyDescent="0.3">
      <c r="A95" t="s">
        <v>308</v>
      </c>
      <c r="B95" t="s">
        <v>309</v>
      </c>
      <c r="C95" t="s">
        <v>23</v>
      </c>
      <c r="D95">
        <v>47</v>
      </c>
      <c r="E95" t="s">
        <v>39</v>
      </c>
      <c r="F95" t="s">
        <v>310</v>
      </c>
      <c r="G95" t="s">
        <v>26</v>
      </c>
      <c r="H95">
        <v>22</v>
      </c>
      <c r="I95" s="1">
        <v>115000</v>
      </c>
      <c r="J95">
        <v>5</v>
      </c>
      <c r="K95" t="s">
        <v>19</v>
      </c>
      <c r="L95" t="s">
        <v>27</v>
      </c>
      <c r="M95">
        <v>2003</v>
      </c>
    </row>
    <row r="96" spans="1:13" x14ac:dyDescent="0.3">
      <c r="A96" t="s">
        <v>311</v>
      </c>
      <c r="B96" t="s">
        <v>312</v>
      </c>
      <c r="C96" t="s">
        <v>15</v>
      </c>
      <c r="D96">
        <v>28</v>
      </c>
      <c r="E96" t="s">
        <v>43</v>
      </c>
      <c r="F96" t="s">
        <v>313</v>
      </c>
      <c r="G96" t="s">
        <v>72</v>
      </c>
      <c r="H96">
        <v>5</v>
      </c>
      <c r="I96" s="1">
        <v>58000</v>
      </c>
      <c r="J96">
        <v>3</v>
      </c>
      <c r="K96" t="s">
        <v>50</v>
      </c>
      <c r="L96" t="s">
        <v>20</v>
      </c>
      <c r="M96">
        <v>2020</v>
      </c>
    </row>
    <row r="97" spans="1:13" x14ac:dyDescent="0.3">
      <c r="A97" t="s">
        <v>314</v>
      </c>
      <c r="B97" t="s">
        <v>65</v>
      </c>
      <c r="C97" t="s">
        <v>23</v>
      </c>
      <c r="D97">
        <v>33</v>
      </c>
      <c r="E97" t="s">
        <v>16</v>
      </c>
      <c r="F97" t="s">
        <v>315</v>
      </c>
      <c r="G97" t="s">
        <v>72</v>
      </c>
      <c r="H97">
        <v>10</v>
      </c>
      <c r="I97" s="1">
        <v>76000</v>
      </c>
      <c r="J97">
        <v>4</v>
      </c>
      <c r="K97" t="s">
        <v>19</v>
      </c>
      <c r="L97" t="s">
        <v>36</v>
      </c>
      <c r="M97">
        <v>2015</v>
      </c>
    </row>
    <row r="98" spans="1:13" x14ac:dyDescent="0.3">
      <c r="A98" t="s">
        <v>316</v>
      </c>
      <c r="B98" t="s">
        <v>317</v>
      </c>
      <c r="C98" t="s">
        <v>15</v>
      </c>
      <c r="D98">
        <v>40</v>
      </c>
      <c r="E98" t="s">
        <v>48</v>
      </c>
      <c r="F98" t="s">
        <v>318</v>
      </c>
      <c r="G98" t="s">
        <v>26</v>
      </c>
      <c r="H98">
        <v>17</v>
      </c>
      <c r="I98" s="1">
        <v>98000</v>
      </c>
      <c r="J98">
        <v>5</v>
      </c>
      <c r="K98" t="s">
        <v>19</v>
      </c>
      <c r="L98" t="s">
        <v>32</v>
      </c>
      <c r="M98">
        <v>2008</v>
      </c>
    </row>
    <row r="99" spans="1:13" x14ac:dyDescent="0.3">
      <c r="A99" t="s">
        <v>319</v>
      </c>
      <c r="B99" t="s">
        <v>320</v>
      </c>
      <c r="C99" t="s">
        <v>23</v>
      </c>
      <c r="D99">
        <v>24</v>
      </c>
      <c r="E99" t="s">
        <v>24</v>
      </c>
      <c r="F99" t="s">
        <v>321</v>
      </c>
      <c r="G99" t="s">
        <v>18</v>
      </c>
      <c r="H99">
        <v>1</v>
      </c>
      <c r="I99" s="1">
        <v>26000</v>
      </c>
      <c r="J99">
        <v>2</v>
      </c>
      <c r="K99" t="s">
        <v>50</v>
      </c>
      <c r="L99" t="s">
        <v>45</v>
      </c>
      <c r="M99">
        <v>2024</v>
      </c>
    </row>
    <row r="100" spans="1:13" x14ac:dyDescent="0.3">
      <c r="A100" t="s">
        <v>322</v>
      </c>
      <c r="B100" t="s">
        <v>323</v>
      </c>
      <c r="C100" t="s">
        <v>15</v>
      </c>
      <c r="D100">
        <v>37</v>
      </c>
      <c r="E100" t="s">
        <v>30</v>
      </c>
      <c r="F100" t="s">
        <v>324</v>
      </c>
      <c r="G100" t="s">
        <v>26</v>
      </c>
      <c r="H100">
        <v>14</v>
      </c>
      <c r="I100" s="1">
        <v>86000</v>
      </c>
      <c r="J100">
        <v>4</v>
      </c>
      <c r="K100" t="s">
        <v>19</v>
      </c>
      <c r="L100" t="s">
        <v>51</v>
      </c>
      <c r="M100">
        <v>2011</v>
      </c>
    </row>
    <row r="101" spans="1:13" x14ac:dyDescent="0.3">
      <c r="A101" t="s">
        <v>325</v>
      </c>
      <c r="B101" t="s">
        <v>326</v>
      </c>
      <c r="C101" t="s">
        <v>23</v>
      </c>
      <c r="D101">
        <v>31</v>
      </c>
      <c r="E101" t="s">
        <v>43</v>
      </c>
      <c r="F101" t="s">
        <v>327</v>
      </c>
      <c r="G101" t="s">
        <v>72</v>
      </c>
      <c r="H101">
        <v>8</v>
      </c>
      <c r="I101" s="1">
        <v>70000</v>
      </c>
      <c r="J101">
        <v>4</v>
      </c>
      <c r="K101" t="s">
        <v>19</v>
      </c>
      <c r="L101" t="s">
        <v>20</v>
      </c>
      <c r="M101">
        <v>2017</v>
      </c>
    </row>
    <row r="102" spans="1:13" x14ac:dyDescent="0.3">
      <c r="A102" t="s">
        <v>328</v>
      </c>
      <c r="B102" t="s">
        <v>329</v>
      </c>
      <c r="C102" t="s">
        <v>15</v>
      </c>
      <c r="D102">
        <v>34</v>
      </c>
      <c r="E102" t="s">
        <v>16</v>
      </c>
      <c r="F102" t="s">
        <v>330</v>
      </c>
      <c r="G102" t="s">
        <v>72</v>
      </c>
      <c r="H102">
        <v>11</v>
      </c>
      <c r="I102" s="1">
        <v>82000</v>
      </c>
      <c r="J102">
        <v>4</v>
      </c>
      <c r="K102" t="s">
        <v>19</v>
      </c>
      <c r="L102" t="s">
        <v>20</v>
      </c>
      <c r="M102">
        <v>2015</v>
      </c>
    </row>
    <row r="103" spans="1:13" x14ac:dyDescent="0.3">
      <c r="A103" t="s">
        <v>331</v>
      </c>
      <c r="B103" t="s">
        <v>332</v>
      </c>
      <c r="C103" t="s">
        <v>23</v>
      </c>
      <c r="D103">
        <v>27</v>
      </c>
      <c r="E103" t="s">
        <v>24</v>
      </c>
      <c r="F103" t="s">
        <v>333</v>
      </c>
      <c r="G103" t="s">
        <v>26</v>
      </c>
      <c r="H103">
        <v>4</v>
      </c>
      <c r="I103" s="1">
        <v>42000</v>
      </c>
      <c r="J103">
        <v>3</v>
      </c>
      <c r="K103" t="s">
        <v>50</v>
      </c>
      <c r="L103" t="s">
        <v>45</v>
      </c>
      <c r="M103">
        <v>2021</v>
      </c>
    </row>
    <row r="104" spans="1:13" x14ac:dyDescent="0.3">
      <c r="A104" t="s">
        <v>334</v>
      </c>
      <c r="B104" t="s">
        <v>335</v>
      </c>
      <c r="C104" t="s">
        <v>15</v>
      </c>
      <c r="D104">
        <v>49</v>
      </c>
      <c r="E104" t="s">
        <v>39</v>
      </c>
      <c r="F104" t="s">
        <v>336</v>
      </c>
      <c r="G104" t="s">
        <v>26</v>
      </c>
      <c r="H104">
        <v>25</v>
      </c>
      <c r="I104" s="1">
        <v>165000</v>
      </c>
      <c r="J104">
        <v>5</v>
      </c>
      <c r="K104" t="s">
        <v>19</v>
      </c>
      <c r="L104" t="s">
        <v>32</v>
      </c>
      <c r="M104">
        <v>1999</v>
      </c>
    </row>
    <row r="105" spans="1:13" x14ac:dyDescent="0.3">
      <c r="A105" t="s">
        <v>337</v>
      </c>
      <c r="B105" t="s">
        <v>338</v>
      </c>
      <c r="C105" t="s">
        <v>23</v>
      </c>
      <c r="D105">
        <v>31</v>
      </c>
      <c r="E105" t="s">
        <v>30</v>
      </c>
      <c r="F105" t="s">
        <v>339</v>
      </c>
      <c r="G105" t="s">
        <v>72</v>
      </c>
      <c r="H105">
        <v>8</v>
      </c>
      <c r="I105" s="1">
        <v>72000</v>
      </c>
      <c r="J105">
        <v>4</v>
      </c>
      <c r="K105" t="s">
        <v>19</v>
      </c>
      <c r="L105" t="s">
        <v>36</v>
      </c>
      <c r="M105">
        <v>2017</v>
      </c>
    </row>
    <row r="106" spans="1:13" x14ac:dyDescent="0.3">
      <c r="A106" t="s">
        <v>340</v>
      </c>
      <c r="B106" t="s">
        <v>341</v>
      </c>
      <c r="C106" t="s">
        <v>15</v>
      </c>
      <c r="D106">
        <v>29</v>
      </c>
      <c r="E106" t="s">
        <v>43</v>
      </c>
      <c r="F106" t="s">
        <v>342</v>
      </c>
      <c r="G106" t="s">
        <v>18</v>
      </c>
      <c r="H106">
        <v>6</v>
      </c>
      <c r="I106" s="1">
        <v>68000</v>
      </c>
      <c r="J106">
        <v>4</v>
      </c>
      <c r="K106" t="s">
        <v>19</v>
      </c>
      <c r="L106" t="s">
        <v>27</v>
      </c>
      <c r="M106">
        <v>2019</v>
      </c>
    </row>
    <row r="107" spans="1:13" x14ac:dyDescent="0.3">
      <c r="A107" t="s">
        <v>343</v>
      </c>
      <c r="B107" t="s">
        <v>344</v>
      </c>
      <c r="C107" t="s">
        <v>23</v>
      </c>
      <c r="D107">
        <v>36</v>
      </c>
      <c r="E107" t="s">
        <v>48</v>
      </c>
      <c r="F107" t="s">
        <v>345</v>
      </c>
      <c r="G107" t="s">
        <v>26</v>
      </c>
      <c r="H107">
        <v>13</v>
      </c>
      <c r="I107" s="1">
        <v>88000</v>
      </c>
      <c r="J107">
        <v>4</v>
      </c>
      <c r="K107" t="s">
        <v>19</v>
      </c>
      <c r="L107" t="s">
        <v>20</v>
      </c>
      <c r="M107">
        <v>2012</v>
      </c>
    </row>
    <row r="108" spans="1:13" x14ac:dyDescent="0.3">
      <c r="A108" t="s">
        <v>346</v>
      </c>
      <c r="B108" t="s">
        <v>347</v>
      </c>
      <c r="C108" t="s">
        <v>15</v>
      </c>
      <c r="D108">
        <v>42</v>
      </c>
      <c r="E108" t="s">
        <v>16</v>
      </c>
      <c r="F108" t="s">
        <v>348</v>
      </c>
      <c r="G108" t="s">
        <v>26</v>
      </c>
      <c r="H108">
        <v>18</v>
      </c>
      <c r="I108" s="1">
        <v>120000</v>
      </c>
      <c r="J108">
        <v>5</v>
      </c>
      <c r="K108" t="s">
        <v>19</v>
      </c>
      <c r="L108" t="s">
        <v>51</v>
      </c>
      <c r="M108">
        <v>2007</v>
      </c>
    </row>
    <row r="109" spans="1:13" x14ac:dyDescent="0.3">
      <c r="A109" t="s">
        <v>349</v>
      </c>
      <c r="B109" t="s">
        <v>350</v>
      </c>
      <c r="C109" t="s">
        <v>23</v>
      </c>
      <c r="D109">
        <v>45</v>
      </c>
      <c r="E109" t="s">
        <v>24</v>
      </c>
      <c r="F109" t="s">
        <v>351</v>
      </c>
      <c r="G109" t="s">
        <v>26</v>
      </c>
      <c r="H109">
        <v>20</v>
      </c>
      <c r="I109" s="1">
        <v>105000</v>
      </c>
      <c r="J109">
        <v>5</v>
      </c>
      <c r="K109" t="s">
        <v>19</v>
      </c>
      <c r="L109" t="s">
        <v>32</v>
      </c>
      <c r="M109">
        <v>2005</v>
      </c>
    </row>
    <row r="110" spans="1:13" x14ac:dyDescent="0.3">
      <c r="A110" t="s">
        <v>352</v>
      </c>
      <c r="B110" t="s">
        <v>353</v>
      </c>
      <c r="C110" t="s">
        <v>15</v>
      </c>
      <c r="D110">
        <v>25</v>
      </c>
      <c r="E110" t="s">
        <v>30</v>
      </c>
      <c r="F110" t="s">
        <v>354</v>
      </c>
      <c r="G110" t="s">
        <v>18</v>
      </c>
      <c r="H110">
        <v>2</v>
      </c>
      <c r="I110" s="1">
        <v>36000</v>
      </c>
      <c r="J110">
        <v>3</v>
      </c>
      <c r="K110" t="s">
        <v>50</v>
      </c>
      <c r="L110" t="s">
        <v>45</v>
      </c>
      <c r="M110">
        <v>2023</v>
      </c>
    </row>
    <row r="111" spans="1:13" x14ac:dyDescent="0.3">
      <c r="A111" t="s">
        <v>355</v>
      </c>
      <c r="B111" t="s">
        <v>356</v>
      </c>
      <c r="C111" t="s">
        <v>23</v>
      </c>
      <c r="D111">
        <v>33</v>
      </c>
      <c r="E111" t="s">
        <v>39</v>
      </c>
      <c r="F111" t="s">
        <v>357</v>
      </c>
      <c r="G111" t="s">
        <v>26</v>
      </c>
      <c r="H111">
        <v>10</v>
      </c>
      <c r="I111" s="1">
        <v>84000</v>
      </c>
      <c r="J111">
        <v>4</v>
      </c>
      <c r="K111" t="s">
        <v>19</v>
      </c>
      <c r="L111" t="s">
        <v>36</v>
      </c>
      <c r="M111">
        <v>2015</v>
      </c>
    </row>
    <row r="112" spans="1:13" x14ac:dyDescent="0.3">
      <c r="A112" t="s">
        <v>358</v>
      </c>
      <c r="B112" t="s">
        <v>38</v>
      </c>
      <c r="C112" t="s">
        <v>15</v>
      </c>
      <c r="D112">
        <v>28</v>
      </c>
      <c r="E112" t="s">
        <v>16</v>
      </c>
      <c r="F112" t="s">
        <v>359</v>
      </c>
      <c r="G112" t="s">
        <v>18</v>
      </c>
      <c r="H112">
        <v>5</v>
      </c>
      <c r="I112" s="1">
        <v>62000</v>
      </c>
      <c r="J112">
        <v>4</v>
      </c>
      <c r="K112" t="s">
        <v>19</v>
      </c>
      <c r="L112" t="s">
        <v>20</v>
      </c>
      <c r="M112">
        <v>2020</v>
      </c>
    </row>
    <row r="113" spans="1:13" x14ac:dyDescent="0.3">
      <c r="A113" t="s">
        <v>360</v>
      </c>
      <c r="B113" t="s">
        <v>361</v>
      </c>
      <c r="C113" t="s">
        <v>23</v>
      </c>
      <c r="D113">
        <v>35</v>
      </c>
      <c r="E113" t="s">
        <v>43</v>
      </c>
      <c r="F113" t="s">
        <v>362</v>
      </c>
      <c r="G113" t="s">
        <v>26</v>
      </c>
      <c r="H113">
        <v>12</v>
      </c>
      <c r="I113" s="1">
        <v>98000</v>
      </c>
      <c r="J113">
        <v>5</v>
      </c>
      <c r="K113" t="s">
        <v>19</v>
      </c>
      <c r="L113" t="s">
        <v>27</v>
      </c>
      <c r="M113">
        <v>2013</v>
      </c>
    </row>
    <row r="114" spans="1:13" x14ac:dyDescent="0.3">
      <c r="A114" t="s">
        <v>363</v>
      </c>
      <c r="B114" t="s">
        <v>364</v>
      </c>
      <c r="C114" t="s">
        <v>15</v>
      </c>
      <c r="D114">
        <v>40</v>
      </c>
      <c r="E114" t="s">
        <v>48</v>
      </c>
      <c r="F114" t="s">
        <v>365</v>
      </c>
      <c r="G114" t="s">
        <v>26</v>
      </c>
      <c r="H114">
        <v>17</v>
      </c>
      <c r="I114" s="1">
        <v>102000</v>
      </c>
      <c r="J114">
        <v>5</v>
      </c>
      <c r="K114" t="s">
        <v>19</v>
      </c>
      <c r="L114" t="s">
        <v>32</v>
      </c>
      <c r="M114">
        <v>2008</v>
      </c>
    </row>
    <row r="115" spans="1:13" x14ac:dyDescent="0.3">
      <c r="A115" t="s">
        <v>366</v>
      </c>
      <c r="B115" t="s">
        <v>367</v>
      </c>
      <c r="C115" t="s">
        <v>23</v>
      </c>
      <c r="D115">
        <v>24</v>
      </c>
      <c r="E115" t="s">
        <v>24</v>
      </c>
      <c r="F115" t="s">
        <v>368</v>
      </c>
      <c r="G115" t="s">
        <v>18</v>
      </c>
      <c r="H115">
        <v>1</v>
      </c>
      <c r="I115" s="1">
        <v>25000</v>
      </c>
      <c r="J115">
        <v>2</v>
      </c>
      <c r="K115" t="s">
        <v>50</v>
      </c>
      <c r="L115" t="s">
        <v>51</v>
      </c>
      <c r="M115">
        <v>2024</v>
      </c>
    </row>
    <row r="116" spans="1:13" x14ac:dyDescent="0.3">
      <c r="A116" t="s">
        <v>369</v>
      </c>
      <c r="B116" t="s">
        <v>370</v>
      </c>
      <c r="C116" t="s">
        <v>15</v>
      </c>
      <c r="D116">
        <v>37</v>
      </c>
      <c r="E116" t="s">
        <v>30</v>
      </c>
      <c r="F116" t="s">
        <v>371</v>
      </c>
      <c r="G116" t="s">
        <v>26</v>
      </c>
      <c r="H116">
        <v>14</v>
      </c>
      <c r="I116" s="1">
        <v>92000</v>
      </c>
      <c r="J116">
        <v>4</v>
      </c>
      <c r="K116" t="s">
        <v>19</v>
      </c>
      <c r="L116" t="s">
        <v>20</v>
      </c>
      <c r="M116">
        <v>2011</v>
      </c>
    </row>
    <row r="117" spans="1:13" x14ac:dyDescent="0.3">
      <c r="A117" t="s">
        <v>372</v>
      </c>
      <c r="B117" t="s">
        <v>373</v>
      </c>
      <c r="C117" t="s">
        <v>23</v>
      </c>
      <c r="D117">
        <v>30</v>
      </c>
      <c r="E117" t="s">
        <v>16</v>
      </c>
      <c r="F117" t="s">
        <v>374</v>
      </c>
      <c r="G117" t="s">
        <v>72</v>
      </c>
      <c r="H117">
        <v>7</v>
      </c>
      <c r="I117" s="1">
        <v>74000</v>
      </c>
      <c r="J117">
        <v>4</v>
      </c>
      <c r="K117" t="s">
        <v>19</v>
      </c>
      <c r="L117" t="s">
        <v>36</v>
      </c>
      <c r="M117">
        <v>2018</v>
      </c>
    </row>
    <row r="118" spans="1:13" x14ac:dyDescent="0.3">
      <c r="A118" t="s">
        <v>375</v>
      </c>
      <c r="B118" t="s">
        <v>104</v>
      </c>
      <c r="C118" t="s">
        <v>15</v>
      </c>
      <c r="D118">
        <v>44</v>
      </c>
      <c r="E118" t="s">
        <v>39</v>
      </c>
      <c r="F118" t="s">
        <v>376</v>
      </c>
      <c r="G118" t="s">
        <v>26</v>
      </c>
      <c r="H118">
        <v>19</v>
      </c>
      <c r="I118" s="1">
        <v>108000</v>
      </c>
      <c r="J118">
        <v>5</v>
      </c>
      <c r="K118" t="s">
        <v>19</v>
      </c>
      <c r="L118" t="s">
        <v>27</v>
      </c>
      <c r="M118">
        <v>2006</v>
      </c>
    </row>
    <row r="119" spans="1:13" x14ac:dyDescent="0.3">
      <c r="A119" t="s">
        <v>377</v>
      </c>
      <c r="B119" t="s">
        <v>378</v>
      </c>
      <c r="C119" t="s">
        <v>23</v>
      </c>
      <c r="D119">
        <v>26</v>
      </c>
      <c r="E119" t="s">
        <v>48</v>
      </c>
      <c r="F119" t="s">
        <v>379</v>
      </c>
      <c r="G119" t="s">
        <v>18</v>
      </c>
      <c r="H119">
        <v>3</v>
      </c>
      <c r="I119" s="1">
        <v>45000</v>
      </c>
      <c r="J119">
        <v>3</v>
      </c>
      <c r="K119" t="s">
        <v>50</v>
      </c>
      <c r="L119" t="s">
        <v>45</v>
      </c>
      <c r="M119">
        <v>2022</v>
      </c>
    </row>
    <row r="120" spans="1:13" x14ac:dyDescent="0.3">
      <c r="A120" t="s">
        <v>380</v>
      </c>
      <c r="B120" t="s">
        <v>381</v>
      </c>
      <c r="C120" t="s">
        <v>15</v>
      </c>
      <c r="D120">
        <v>32</v>
      </c>
      <c r="E120" t="s">
        <v>43</v>
      </c>
      <c r="F120" t="s">
        <v>382</v>
      </c>
      <c r="G120" t="s">
        <v>72</v>
      </c>
      <c r="H120">
        <v>9</v>
      </c>
      <c r="I120" s="1">
        <v>70000</v>
      </c>
      <c r="J120">
        <v>4</v>
      </c>
      <c r="K120" t="s">
        <v>19</v>
      </c>
      <c r="L120" t="s">
        <v>51</v>
      </c>
      <c r="M120">
        <v>2016</v>
      </c>
    </row>
    <row r="121" spans="1:13" x14ac:dyDescent="0.3">
      <c r="A121" t="s">
        <v>383</v>
      </c>
      <c r="B121" t="s">
        <v>384</v>
      </c>
      <c r="C121" t="s">
        <v>23</v>
      </c>
      <c r="D121">
        <v>38</v>
      </c>
      <c r="E121" t="s">
        <v>24</v>
      </c>
      <c r="F121" t="s">
        <v>385</v>
      </c>
      <c r="G121" t="s">
        <v>26</v>
      </c>
      <c r="H121">
        <v>15</v>
      </c>
      <c r="I121" s="1">
        <v>92000</v>
      </c>
      <c r="J121">
        <v>5</v>
      </c>
      <c r="K121" t="s">
        <v>19</v>
      </c>
      <c r="L121" t="s">
        <v>32</v>
      </c>
      <c r="M121">
        <v>2010</v>
      </c>
    </row>
    <row r="122" spans="1:13" x14ac:dyDescent="0.3">
      <c r="A122" t="s">
        <v>386</v>
      </c>
      <c r="B122" t="s">
        <v>387</v>
      </c>
      <c r="C122" t="s">
        <v>15</v>
      </c>
      <c r="D122">
        <v>27</v>
      </c>
      <c r="E122" t="s">
        <v>16</v>
      </c>
      <c r="F122" t="s">
        <v>388</v>
      </c>
      <c r="G122" t="s">
        <v>18</v>
      </c>
      <c r="H122">
        <v>4</v>
      </c>
      <c r="I122" s="1">
        <v>48000</v>
      </c>
      <c r="J122">
        <v>3</v>
      </c>
      <c r="K122" t="s">
        <v>50</v>
      </c>
      <c r="L122" t="s">
        <v>20</v>
      </c>
      <c r="M122">
        <v>2021</v>
      </c>
    </row>
    <row r="123" spans="1:13" x14ac:dyDescent="0.3">
      <c r="A123" t="s">
        <v>389</v>
      </c>
      <c r="B123" t="s">
        <v>390</v>
      </c>
      <c r="C123" t="s">
        <v>23</v>
      </c>
      <c r="D123">
        <v>41</v>
      </c>
      <c r="E123" t="s">
        <v>30</v>
      </c>
      <c r="F123" t="s">
        <v>391</v>
      </c>
      <c r="G123" t="s">
        <v>26</v>
      </c>
      <c r="H123">
        <v>18</v>
      </c>
      <c r="I123" s="1">
        <v>110000</v>
      </c>
      <c r="J123">
        <v>5</v>
      </c>
      <c r="K123" t="s">
        <v>19</v>
      </c>
      <c r="L123" t="s">
        <v>36</v>
      </c>
      <c r="M123">
        <v>2007</v>
      </c>
    </row>
    <row r="124" spans="1:13" x14ac:dyDescent="0.3">
      <c r="A124" t="s">
        <v>392</v>
      </c>
      <c r="B124" t="s">
        <v>393</v>
      </c>
      <c r="C124" t="s">
        <v>15</v>
      </c>
      <c r="D124">
        <v>35</v>
      </c>
      <c r="E124" t="s">
        <v>39</v>
      </c>
      <c r="F124" t="s">
        <v>394</v>
      </c>
      <c r="G124" t="s">
        <v>26</v>
      </c>
      <c r="H124">
        <v>12</v>
      </c>
      <c r="I124" s="1">
        <v>86000</v>
      </c>
      <c r="J124">
        <v>4</v>
      </c>
      <c r="K124" t="s">
        <v>19</v>
      </c>
      <c r="L124" t="s">
        <v>45</v>
      </c>
      <c r="M124">
        <v>2013</v>
      </c>
    </row>
    <row r="125" spans="1:13" x14ac:dyDescent="0.3">
      <c r="A125" t="s">
        <v>395</v>
      </c>
      <c r="B125" t="s">
        <v>396</v>
      </c>
      <c r="C125" t="s">
        <v>23</v>
      </c>
      <c r="D125">
        <v>29</v>
      </c>
      <c r="E125" t="s">
        <v>43</v>
      </c>
      <c r="F125" t="s">
        <v>397</v>
      </c>
      <c r="G125" t="s">
        <v>26</v>
      </c>
      <c r="H125">
        <v>6</v>
      </c>
      <c r="I125" s="1">
        <v>72000</v>
      </c>
      <c r="J125">
        <v>4</v>
      </c>
      <c r="K125" t="s">
        <v>19</v>
      </c>
      <c r="L125" t="s">
        <v>32</v>
      </c>
      <c r="M125">
        <v>2019</v>
      </c>
    </row>
    <row r="126" spans="1:13" x14ac:dyDescent="0.3">
      <c r="A126" t="s">
        <v>398</v>
      </c>
      <c r="B126" t="s">
        <v>399</v>
      </c>
      <c r="C126" t="s">
        <v>15</v>
      </c>
      <c r="D126">
        <v>47</v>
      </c>
      <c r="E126" t="s">
        <v>16</v>
      </c>
      <c r="F126" t="s">
        <v>400</v>
      </c>
      <c r="G126" t="s">
        <v>72</v>
      </c>
      <c r="H126">
        <v>23</v>
      </c>
      <c r="I126" s="1">
        <v>135000</v>
      </c>
      <c r="J126">
        <v>5</v>
      </c>
      <c r="K126" t="s">
        <v>19</v>
      </c>
      <c r="L126" t="s">
        <v>20</v>
      </c>
      <c r="M126">
        <v>2002</v>
      </c>
    </row>
    <row r="127" spans="1:13" x14ac:dyDescent="0.3">
      <c r="A127" t="s">
        <v>401</v>
      </c>
      <c r="B127" t="s">
        <v>402</v>
      </c>
      <c r="C127" t="s">
        <v>23</v>
      </c>
      <c r="D127">
        <v>25</v>
      </c>
      <c r="E127" t="s">
        <v>24</v>
      </c>
      <c r="F127" t="s">
        <v>403</v>
      </c>
      <c r="G127" t="s">
        <v>18</v>
      </c>
      <c r="H127">
        <v>2</v>
      </c>
      <c r="I127" s="1">
        <v>33000</v>
      </c>
      <c r="J127">
        <v>3</v>
      </c>
      <c r="K127" t="s">
        <v>50</v>
      </c>
      <c r="L127" t="s">
        <v>51</v>
      </c>
      <c r="M127">
        <v>2023</v>
      </c>
    </row>
    <row r="128" spans="1:13" x14ac:dyDescent="0.3">
      <c r="A128" t="s">
        <v>404</v>
      </c>
      <c r="B128" t="s">
        <v>405</v>
      </c>
      <c r="C128" t="s">
        <v>15</v>
      </c>
      <c r="D128">
        <v>39</v>
      </c>
      <c r="E128" t="s">
        <v>30</v>
      </c>
      <c r="F128" t="s">
        <v>406</v>
      </c>
      <c r="G128" t="s">
        <v>26</v>
      </c>
      <c r="H128">
        <v>16</v>
      </c>
      <c r="I128" s="1">
        <v>98000</v>
      </c>
      <c r="J128">
        <v>5</v>
      </c>
      <c r="K128" t="s">
        <v>19</v>
      </c>
      <c r="L128" t="s">
        <v>27</v>
      </c>
      <c r="M128">
        <v>2009</v>
      </c>
    </row>
    <row r="129" spans="1:13" x14ac:dyDescent="0.3">
      <c r="A129" t="s">
        <v>407</v>
      </c>
      <c r="B129" t="s">
        <v>408</v>
      </c>
      <c r="C129" t="s">
        <v>23</v>
      </c>
      <c r="D129">
        <v>34</v>
      </c>
      <c r="E129" t="s">
        <v>48</v>
      </c>
      <c r="F129" t="s">
        <v>409</v>
      </c>
      <c r="G129" t="s">
        <v>72</v>
      </c>
      <c r="H129">
        <v>11</v>
      </c>
      <c r="I129" s="1">
        <v>82000</v>
      </c>
      <c r="J129">
        <v>4</v>
      </c>
      <c r="K129" t="s">
        <v>19</v>
      </c>
      <c r="L129" t="s">
        <v>36</v>
      </c>
      <c r="M129">
        <v>2014</v>
      </c>
    </row>
    <row r="130" spans="1:13" x14ac:dyDescent="0.3">
      <c r="A130" t="s">
        <v>410</v>
      </c>
      <c r="B130" t="s">
        <v>411</v>
      </c>
      <c r="C130" t="s">
        <v>15</v>
      </c>
      <c r="D130">
        <v>31</v>
      </c>
      <c r="E130" t="s">
        <v>16</v>
      </c>
      <c r="F130" t="s">
        <v>412</v>
      </c>
      <c r="G130" t="s">
        <v>18</v>
      </c>
      <c r="H130">
        <v>8</v>
      </c>
      <c r="I130" s="1">
        <v>71000</v>
      </c>
      <c r="J130">
        <v>4</v>
      </c>
      <c r="K130" t="s">
        <v>19</v>
      </c>
      <c r="L130" t="s">
        <v>20</v>
      </c>
      <c r="M130">
        <v>2017</v>
      </c>
    </row>
    <row r="131" spans="1:13" x14ac:dyDescent="0.3">
      <c r="A131" t="s">
        <v>413</v>
      </c>
      <c r="B131" t="s">
        <v>414</v>
      </c>
      <c r="C131" t="s">
        <v>23</v>
      </c>
      <c r="D131">
        <v>28</v>
      </c>
      <c r="E131" t="s">
        <v>43</v>
      </c>
      <c r="F131" t="s">
        <v>415</v>
      </c>
      <c r="G131" t="s">
        <v>18</v>
      </c>
      <c r="H131">
        <v>5</v>
      </c>
      <c r="I131" s="1">
        <v>56000</v>
      </c>
      <c r="J131">
        <v>3</v>
      </c>
      <c r="K131" t="s">
        <v>50</v>
      </c>
      <c r="L131" t="s">
        <v>45</v>
      </c>
      <c r="M131">
        <v>2020</v>
      </c>
    </row>
    <row r="132" spans="1:13" x14ac:dyDescent="0.3">
      <c r="A132" t="s">
        <v>416</v>
      </c>
      <c r="B132" t="s">
        <v>417</v>
      </c>
      <c r="C132" t="s">
        <v>15</v>
      </c>
      <c r="D132">
        <v>43</v>
      </c>
      <c r="E132" t="s">
        <v>39</v>
      </c>
      <c r="F132" t="s">
        <v>418</v>
      </c>
      <c r="G132" t="s">
        <v>26</v>
      </c>
      <c r="H132">
        <v>18</v>
      </c>
      <c r="I132" s="1">
        <v>118000</v>
      </c>
      <c r="J132">
        <v>5</v>
      </c>
      <c r="K132" t="s">
        <v>19</v>
      </c>
      <c r="L132" t="s">
        <v>51</v>
      </c>
      <c r="M132">
        <v>2006</v>
      </c>
    </row>
    <row r="133" spans="1:13" x14ac:dyDescent="0.3">
      <c r="A133" t="s">
        <v>419</v>
      </c>
      <c r="B133" t="s">
        <v>420</v>
      </c>
      <c r="C133" t="s">
        <v>23</v>
      </c>
      <c r="D133">
        <v>36</v>
      </c>
      <c r="E133" t="s">
        <v>24</v>
      </c>
      <c r="F133" t="s">
        <v>421</v>
      </c>
      <c r="G133" t="s">
        <v>26</v>
      </c>
      <c r="H133">
        <v>13</v>
      </c>
      <c r="I133" s="1">
        <v>88000</v>
      </c>
      <c r="J133">
        <v>4</v>
      </c>
      <c r="K133" t="s">
        <v>19</v>
      </c>
      <c r="L133" t="s">
        <v>32</v>
      </c>
      <c r="M133">
        <v>2012</v>
      </c>
    </row>
    <row r="134" spans="1:13" x14ac:dyDescent="0.3">
      <c r="A134" t="s">
        <v>422</v>
      </c>
      <c r="B134" t="s">
        <v>244</v>
      </c>
      <c r="C134" t="s">
        <v>15</v>
      </c>
      <c r="D134">
        <v>29</v>
      </c>
      <c r="E134" t="s">
        <v>30</v>
      </c>
      <c r="F134" t="s">
        <v>423</v>
      </c>
      <c r="G134" t="s">
        <v>18</v>
      </c>
      <c r="H134">
        <v>6</v>
      </c>
      <c r="I134" s="1">
        <v>60000</v>
      </c>
      <c r="J134">
        <v>4</v>
      </c>
      <c r="K134" t="s">
        <v>19</v>
      </c>
      <c r="L134" t="s">
        <v>36</v>
      </c>
      <c r="M134">
        <v>2019</v>
      </c>
    </row>
    <row r="135" spans="1:13" x14ac:dyDescent="0.3">
      <c r="A135" t="s">
        <v>424</v>
      </c>
      <c r="B135" t="s">
        <v>425</v>
      </c>
      <c r="C135" t="s">
        <v>23</v>
      </c>
      <c r="D135">
        <v>33</v>
      </c>
      <c r="E135" t="s">
        <v>48</v>
      </c>
      <c r="F135" t="s">
        <v>426</v>
      </c>
      <c r="G135" t="s">
        <v>72</v>
      </c>
      <c r="H135">
        <v>10</v>
      </c>
      <c r="I135" s="1">
        <v>74000</v>
      </c>
      <c r="J135">
        <v>4</v>
      </c>
      <c r="K135" t="s">
        <v>19</v>
      </c>
      <c r="L135" t="s">
        <v>20</v>
      </c>
      <c r="M135">
        <v>2015</v>
      </c>
    </row>
    <row r="136" spans="1:13" x14ac:dyDescent="0.3">
      <c r="A136" t="s">
        <v>427</v>
      </c>
      <c r="B136" t="s">
        <v>428</v>
      </c>
      <c r="C136" t="s">
        <v>15</v>
      </c>
      <c r="D136">
        <v>45</v>
      </c>
      <c r="E136" t="s">
        <v>43</v>
      </c>
      <c r="F136" t="s">
        <v>429</v>
      </c>
      <c r="G136" t="s">
        <v>26</v>
      </c>
      <c r="H136">
        <v>21</v>
      </c>
      <c r="I136" s="1">
        <v>135000</v>
      </c>
      <c r="J136">
        <v>5</v>
      </c>
      <c r="K136" t="s">
        <v>19</v>
      </c>
      <c r="L136" t="s">
        <v>27</v>
      </c>
      <c r="M136">
        <v>2004</v>
      </c>
    </row>
    <row r="137" spans="1:13" x14ac:dyDescent="0.3">
      <c r="A137" t="s">
        <v>430</v>
      </c>
      <c r="B137" t="s">
        <v>154</v>
      </c>
      <c r="C137" t="s">
        <v>23</v>
      </c>
      <c r="D137">
        <v>24</v>
      </c>
      <c r="E137" t="s">
        <v>24</v>
      </c>
      <c r="F137" t="s">
        <v>431</v>
      </c>
      <c r="G137" t="s">
        <v>18</v>
      </c>
      <c r="H137">
        <v>1</v>
      </c>
      <c r="I137" s="1">
        <v>24000</v>
      </c>
      <c r="J137">
        <v>2</v>
      </c>
      <c r="K137" t="s">
        <v>50</v>
      </c>
      <c r="L137" t="s">
        <v>45</v>
      </c>
      <c r="M137">
        <v>2024</v>
      </c>
    </row>
    <row r="138" spans="1:13" x14ac:dyDescent="0.3">
      <c r="A138" t="s">
        <v>432</v>
      </c>
      <c r="B138" t="s">
        <v>433</v>
      </c>
      <c r="C138" t="s">
        <v>15</v>
      </c>
      <c r="D138">
        <v>38</v>
      </c>
      <c r="E138" t="s">
        <v>16</v>
      </c>
      <c r="F138" t="s">
        <v>434</v>
      </c>
      <c r="G138" t="s">
        <v>72</v>
      </c>
      <c r="H138">
        <v>15</v>
      </c>
      <c r="I138" s="1">
        <v>88000</v>
      </c>
      <c r="J138">
        <v>4</v>
      </c>
      <c r="K138" t="s">
        <v>19</v>
      </c>
      <c r="L138" t="s">
        <v>51</v>
      </c>
      <c r="M138">
        <v>2010</v>
      </c>
    </row>
    <row r="139" spans="1:13" x14ac:dyDescent="0.3">
      <c r="A139" t="s">
        <v>435</v>
      </c>
      <c r="B139" t="s">
        <v>436</v>
      </c>
      <c r="C139" t="s">
        <v>23</v>
      </c>
      <c r="D139">
        <v>42</v>
      </c>
      <c r="E139" t="s">
        <v>30</v>
      </c>
      <c r="F139" t="s">
        <v>437</v>
      </c>
      <c r="G139" t="s">
        <v>26</v>
      </c>
      <c r="H139">
        <v>19</v>
      </c>
      <c r="I139" s="1">
        <v>102000</v>
      </c>
      <c r="J139">
        <v>5</v>
      </c>
      <c r="K139" t="s">
        <v>19</v>
      </c>
      <c r="L139" t="s">
        <v>32</v>
      </c>
      <c r="M139">
        <v>2006</v>
      </c>
    </row>
    <row r="140" spans="1:13" x14ac:dyDescent="0.3">
      <c r="A140" t="s">
        <v>438</v>
      </c>
      <c r="B140" t="s">
        <v>439</v>
      </c>
      <c r="C140" t="s">
        <v>15</v>
      </c>
      <c r="D140">
        <v>34</v>
      </c>
      <c r="E140" t="s">
        <v>39</v>
      </c>
      <c r="F140" t="s">
        <v>440</v>
      </c>
      <c r="G140" t="s">
        <v>26</v>
      </c>
      <c r="H140">
        <v>11</v>
      </c>
      <c r="I140" s="1">
        <v>86000</v>
      </c>
      <c r="J140">
        <v>4</v>
      </c>
      <c r="K140" t="s">
        <v>19</v>
      </c>
      <c r="L140" t="s">
        <v>20</v>
      </c>
      <c r="M140">
        <v>2014</v>
      </c>
    </row>
    <row r="141" spans="1:13" x14ac:dyDescent="0.3">
      <c r="A141" t="s">
        <v>441</v>
      </c>
      <c r="B141" t="s">
        <v>442</v>
      </c>
      <c r="C141" t="s">
        <v>23</v>
      </c>
      <c r="D141">
        <v>27</v>
      </c>
      <c r="E141" t="s">
        <v>48</v>
      </c>
      <c r="F141" t="s">
        <v>443</v>
      </c>
      <c r="G141" t="s">
        <v>72</v>
      </c>
      <c r="H141">
        <v>4</v>
      </c>
      <c r="I141" s="1">
        <v>58000</v>
      </c>
      <c r="J141">
        <v>3</v>
      </c>
      <c r="K141" t="s">
        <v>50</v>
      </c>
      <c r="L141" t="s">
        <v>36</v>
      </c>
      <c r="M141">
        <v>2021</v>
      </c>
    </row>
    <row r="142" spans="1:13" x14ac:dyDescent="0.3">
      <c r="A142" t="s">
        <v>444</v>
      </c>
      <c r="B142" t="s">
        <v>445</v>
      </c>
      <c r="C142" t="s">
        <v>15</v>
      </c>
      <c r="D142">
        <v>30</v>
      </c>
      <c r="E142" t="s">
        <v>16</v>
      </c>
      <c r="F142" t="s">
        <v>446</v>
      </c>
      <c r="G142" t="s">
        <v>72</v>
      </c>
      <c r="H142">
        <v>7</v>
      </c>
      <c r="I142" s="1">
        <v>88000</v>
      </c>
      <c r="J142">
        <v>4</v>
      </c>
      <c r="K142" t="s">
        <v>19</v>
      </c>
      <c r="L142" t="s">
        <v>45</v>
      </c>
      <c r="M142">
        <v>2018</v>
      </c>
    </row>
    <row r="143" spans="1:13" x14ac:dyDescent="0.3">
      <c r="A143" t="s">
        <v>447</v>
      </c>
      <c r="B143" t="s">
        <v>119</v>
      </c>
      <c r="C143" t="s">
        <v>23</v>
      </c>
      <c r="D143">
        <v>39</v>
      </c>
      <c r="E143" t="s">
        <v>43</v>
      </c>
      <c r="F143" t="s">
        <v>448</v>
      </c>
      <c r="G143" t="s">
        <v>26</v>
      </c>
      <c r="H143">
        <v>16</v>
      </c>
      <c r="I143" s="1">
        <v>96000</v>
      </c>
      <c r="J143">
        <v>5</v>
      </c>
      <c r="K143" t="s">
        <v>19</v>
      </c>
      <c r="L143" t="s">
        <v>32</v>
      </c>
      <c r="M143">
        <v>2009</v>
      </c>
    </row>
    <row r="144" spans="1:13" x14ac:dyDescent="0.3">
      <c r="A144" t="s">
        <v>449</v>
      </c>
      <c r="B144" t="s">
        <v>450</v>
      </c>
      <c r="C144" t="s">
        <v>15</v>
      </c>
      <c r="D144">
        <v>46</v>
      </c>
      <c r="E144" t="s">
        <v>39</v>
      </c>
      <c r="F144" t="s">
        <v>451</v>
      </c>
      <c r="G144" t="s">
        <v>26</v>
      </c>
      <c r="H144">
        <v>22</v>
      </c>
      <c r="I144" s="1">
        <v>142000</v>
      </c>
      <c r="J144">
        <v>5</v>
      </c>
      <c r="K144" t="s">
        <v>19</v>
      </c>
      <c r="L144" t="s">
        <v>27</v>
      </c>
      <c r="M144">
        <v>2003</v>
      </c>
    </row>
    <row r="145" spans="1:13" x14ac:dyDescent="0.3">
      <c r="A145" t="s">
        <v>452</v>
      </c>
      <c r="B145" t="s">
        <v>453</v>
      </c>
      <c r="C145" t="s">
        <v>23</v>
      </c>
      <c r="D145">
        <v>31</v>
      </c>
      <c r="E145" t="s">
        <v>24</v>
      </c>
      <c r="F145" t="s">
        <v>454</v>
      </c>
      <c r="G145" t="s">
        <v>72</v>
      </c>
      <c r="H145">
        <v>8</v>
      </c>
      <c r="I145" s="1">
        <v>68000</v>
      </c>
      <c r="J145">
        <v>4</v>
      </c>
      <c r="K145" t="s">
        <v>19</v>
      </c>
      <c r="L145" t="s">
        <v>20</v>
      </c>
      <c r="M145">
        <v>2017</v>
      </c>
    </row>
    <row r="146" spans="1:13" x14ac:dyDescent="0.3">
      <c r="A146" t="s">
        <v>455</v>
      </c>
      <c r="B146" t="s">
        <v>74</v>
      </c>
      <c r="C146" t="s">
        <v>15</v>
      </c>
      <c r="D146">
        <v>36</v>
      </c>
      <c r="E146" t="s">
        <v>30</v>
      </c>
      <c r="F146" t="s">
        <v>456</v>
      </c>
      <c r="G146" t="s">
        <v>26</v>
      </c>
      <c r="H146">
        <v>13</v>
      </c>
      <c r="I146" s="1">
        <v>90000</v>
      </c>
      <c r="J146">
        <v>4</v>
      </c>
      <c r="K146" t="s">
        <v>19</v>
      </c>
      <c r="L146" t="s">
        <v>36</v>
      </c>
      <c r="M146">
        <v>2012</v>
      </c>
    </row>
    <row r="147" spans="1:13" x14ac:dyDescent="0.3">
      <c r="A147" t="s">
        <v>457</v>
      </c>
      <c r="B147" t="s">
        <v>113</v>
      </c>
      <c r="C147" t="s">
        <v>23</v>
      </c>
      <c r="D147">
        <v>25</v>
      </c>
      <c r="E147" t="s">
        <v>43</v>
      </c>
      <c r="F147" t="s">
        <v>458</v>
      </c>
      <c r="G147" t="s">
        <v>18</v>
      </c>
      <c r="H147">
        <v>2</v>
      </c>
      <c r="I147" s="1">
        <v>35000</v>
      </c>
      <c r="J147">
        <v>3</v>
      </c>
      <c r="K147" t="s">
        <v>50</v>
      </c>
      <c r="L147" t="s">
        <v>51</v>
      </c>
      <c r="M147">
        <v>2023</v>
      </c>
    </row>
    <row r="148" spans="1:13" x14ac:dyDescent="0.3">
      <c r="A148" t="s">
        <v>459</v>
      </c>
      <c r="B148" t="s">
        <v>86</v>
      </c>
      <c r="C148" t="s">
        <v>15</v>
      </c>
      <c r="D148">
        <v>41</v>
      </c>
      <c r="E148" t="s">
        <v>16</v>
      </c>
      <c r="F148" t="s">
        <v>460</v>
      </c>
      <c r="G148" t="s">
        <v>18</v>
      </c>
      <c r="H148">
        <v>18</v>
      </c>
      <c r="I148" s="1">
        <v>86000</v>
      </c>
      <c r="J148">
        <v>4</v>
      </c>
      <c r="K148" t="s">
        <v>19</v>
      </c>
      <c r="L148" t="s">
        <v>32</v>
      </c>
      <c r="M148">
        <v>2006</v>
      </c>
    </row>
    <row r="149" spans="1:13" x14ac:dyDescent="0.3">
      <c r="A149" t="s">
        <v>461</v>
      </c>
      <c r="B149" t="s">
        <v>462</v>
      </c>
      <c r="C149" t="s">
        <v>23</v>
      </c>
      <c r="D149">
        <v>34</v>
      </c>
      <c r="E149" t="s">
        <v>48</v>
      </c>
      <c r="F149" t="s">
        <v>463</v>
      </c>
      <c r="G149" t="s">
        <v>26</v>
      </c>
      <c r="H149">
        <v>11</v>
      </c>
      <c r="I149" s="1">
        <v>84000</v>
      </c>
      <c r="J149">
        <v>4</v>
      </c>
      <c r="K149" t="s">
        <v>19</v>
      </c>
      <c r="L149" t="s">
        <v>45</v>
      </c>
      <c r="M149">
        <v>2014</v>
      </c>
    </row>
    <row r="150" spans="1:13" x14ac:dyDescent="0.3">
      <c r="A150" t="s">
        <v>464</v>
      </c>
      <c r="B150" t="s">
        <v>465</v>
      </c>
      <c r="C150" t="s">
        <v>15</v>
      </c>
      <c r="D150">
        <v>48</v>
      </c>
      <c r="E150" t="s">
        <v>39</v>
      </c>
      <c r="F150" t="s">
        <v>466</v>
      </c>
      <c r="G150" t="s">
        <v>26</v>
      </c>
      <c r="H150">
        <v>24</v>
      </c>
      <c r="I150" s="1">
        <v>155000</v>
      </c>
      <c r="J150">
        <v>5</v>
      </c>
      <c r="K150" t="s">
        <v>19</v>
      </c>
      <c r="L150" t="s">
        <v>20</v>
      </c>
      <c r="M150">
        <v>2001</v>
      </c>
    </row>
    <row r="151" spans="1:13" x14ac:dyDescent="0.3">
      <c r="A151" t="s">
        <v>467</v>
      </c>
      <c r="B151" t="s">
        <v>468</v>
      </c>
      <c r="C151" t="s">
        <v>23</v>
      </c>
      <c r="D151">
        <v>29</v>
      </c>
      <c r="E151" t="s">
        <v>24</v>
      </c>
      <c r="F151" t="s">
        <v>469</v>
      </c>
      <c r="G151" t="s">
        <v>26</v>
      </c>
      <c r="H151">
        <v>6</v>
      </c>
      <c r="I151" s="1">
        <v>72000</v>
      </c>
      <c r="J151">
        <v>4</v>
      </c>
      <c r="K151" t="s">
        <v>19</v>
      </c>
      <c r="L151" t="s">
        <v>27</v>
      </c>
      <c r="M151">
        <v>2019</v>
      </c>
    </row>
    <row r="152" spans="1:13" x14ac:dyDescent="0.3">
      <c r="A152" t="s">
        <v>470</v>
      </c>
      <c r="B152" t="s">
        <v>471</v>
      </c>
      <c r="C152" t="s">
        <v>15</v>
      </c>
      <c r="D152">
        <v>33</v>
      </c>
      <c r="E152" t="s">
        <v>16</v>
      </c>
      <c r="F152" t="s">
        <v>472</v>
      </c>
      <c r="G152" t="s">
        <v>72</v>
      </c>
      <c r="H152">
        <v>10</v>
      </c>
      <c r="I152" s="1">
        <v>82000</v>
      </c>
      <c r="J152">
        <v>4</v>
      </c>
      <c r="K152" t="s">
        <v>19</v>
      </c>
      <c r="L152" t="s">
        <v>20</v>
      </c>
      <c r="M152">
        <v>2015</v>
      </c>
    </row>
    <row r="153" spans="1:13" x14ac:dyDescent="0.3">
      <c r="A153" t="s">
        <v>473</v>
      </c>
      <c r="B153" t="s">
        <v>474</v>
      </c>
      <c r="C153" t="s">
        <v>23</v>
      </c>
      <c r="D153">
        <v>26</v>
      </c>
      <c r="E153" t="s">
        <v>24</v>
      </c>
      <c r="F153" t="s">
        <v>475</v>
      </c>
      <c r="G153" t="s">
        <v>18</v>
      </c>
      <c r="H153">
        <v>3</v>
      </c>
      <c r="I153" s="1">
        <v>38000</v>
      </c>
      <c r="J153">
        <v>3</v>
      </c>
      <c r="K153" t="s">
        <v>50</v>
      </c>
      <c r="L153" t="s">
        <v>51</v>
      </c>
      <c r="M153">
        <v>2022</v>
      </c>
    </row>
    <row r="154" spans="1:13" x14ac:dyDescent="0.3">
      <c r="A154" t="s">
        <v>476</v>
      </c>
      <c r="B154" t="s">
        <v>477</v>
      </c>
      <c r="C154" t="s">
        <v>15</v>
      </c>
      <c r="D154">
        <v>52</v>
      </c>
      <c r="E154" t="s">
        <v>39</v>
      </c>
      <c r="F154" t="s">
        <v>478</v>
      </c>
      <c r="G154" t="s">
        <v>26</v>
      </c>
      <c r="H154">
        <v>28</v>
      </c>
      <c r="I154" s="1">
        <v>175000</v>
      </c>
      <c r="J154">
        <v>5</v>
      </c>
      <c r="K154" t="s">
        <v>19</v>
      </c>
      <c r="L154" t="s">
        <v>27</v>
      </c>
      <c r="M154">
        <v>1996</v>
      </c>
    </row>
    <row r="155" spans="1:13" x14ac:dyDescent="0.3">
      <c r="A155" t="s">
        <v>479</v>
      </c>
      <c r="B155" t="s">
        <v>480</v>
      </c>
      <c r="C155" t="s">
        <v>23</v>
      </c>
      <c r="D155">
        <v>35</v>
      </c>
      <c r="E155" t="s">
        <v>30</v>
      </c>
      <c r="F155" t="s">
        <v>481</v>
      </c>
      <c r="G155" t="s">
        <v>26</v>
      </c>
      <c r="H155">
        <v>12</v>
      </c>
      <c r="I155" s="1">
        <v>90000</v>
      </c>
      <c r="J155">
        <v>4</v>
      </c>
      <c r="K155" t="s">
        <v>19</v>
      </c>
      <c r="L155" t="s">
        <v>32</v>
      </c>
      <c r="M155">
        <v>2013</v>
      </c>
    </row>
    <row r="156" spans="1:13" x14ac:dyDescent="0.3">
      <c r="A156" t="s">
        <v>482</v>
      </c>
      <c r="B156" t="s">
        <v>483</v>
      </c>
      <c r="C156" t="s">
        <v>15</v>
      </c>
      <c r="D156">
        <v>29</v>
      </c>
      <c r="E156" t="s">
        <v>43</v>
      </c>
      <c r="F156" t="s">
        <v>484</v>
      </c>
      <c r="G156" t="s">
        <v>18</v>
      </c>
      <c r="H156">
        <v>6</v>
      </c>
      <c r="I156" s="1">
        <v>65000</v>
      </c>
      <c r="J156">
        <v>4</v>
      </c>
      <c r="K156" t="s">
        <v>19</v>
      </c>
      <c r="L156" t="s">
        <v>45</v>
      </c>
      <c r="M156">
        <v>2019</v>
      </c>
    </row>
    <row r="157" spans="1:13" x14ac:dyDescent="0.3">
      <c r="A157" t="s">
        <v>485</v>
      </c>
      <c r="B157" t="s">
        <v>486</v>
      </c>
      <c r="C157" t="s">
        <v>23</v>
      </c>
      <c r="D157">
        <v>41</v>
      </c>
      <c r="E157" t="s">
        <v>48</v>
      </c>
      <c r="F157" t="s">
        <v>487</v>
      </c>
      <c r="G157" t="s">
        <v>26</v>
      </c>
      <c r="H157">
        <v>18</v>
      </c>
      <c r="I157" s="1">
        <v>102000</v>
      </c>
      <c r="J157">
        <v>5</v>
      </c>
      <c r="K157" t="s">
        <v>19</v>
      </c>
      <c r="L157" t="s">
        <v>20</v>
      </c>
      <c r="M157">
        <v>2007</v>
      </c>
    </row>
    <row r="158" spans="1:13" x14ac:dyDescent="0.3">
      <c r="A158" t="s">
        <v>488</v>
      </c>
      <c r="B158" t="s">
        <v>489</v>
      </c>
      <c r="C158" t="s">
        <v>15</v>
      </c>
      <c r="D158">
        <v>37</v>
      </c>
      <c r="E158" t="s">
        <v>16</v>
      </c>
      <c r="F158" t="s">
        <v>490</v>
      </c>
      <c r="G158" t="s">
        <v>72</v>
      </c>
      <c r="H158">
        <v>14</v>
      </c>
      <c r="I158" s="1">
        <v>96000</v>
      </c>
      <c r="J158">
        <v>4</v>
      </c>
      <c r="K158" t="s">
        <v>19</v>
      </c>
      <c r="L158" t="s">
        <v>36</v>
      </c>
      <c r="M158">
        <v>2011</v>
      </c>
    </row>
    <row r="159" spans="1:13" x14ac:dyDescent="0.3">
      <c r="A159" t="s">
        <v>491</v>
      </c>
      <c r="B159" t="s">
        <v>492</v>
      </c>
      <c r="C159" t="s">
        <v>23</v>
      </c>
      <c r="D159">
        <v>45</v>
      </c>
      <c r="E159" t="s">
        <v>24</v>
      </c>
      <c r="F159" t="s">
        <v>493</v>
      </c>
      <c r="G159" t="s">
        <v>26</v>
      </c>
      <c r="H159">
        <v>20</v>
      </c>
      <c r="I159" s="1">
        <v>110000</v>
      </c>
      <c r="J159">
        <v>5</v>
      </c>
      <c r="K159" t="s">
        <v>19</v>
      </c>
      <c r="L159" t="s">
        <v>32</v>
      </c>
      <c r="M159">
        <v>2005</v>
      </c>
    </row>
    <row r="160" spans="1:13" x14ac:dyDescent="0.3">
      <c r="A160" t="s">
        <v>494</v>
      </c>
      <c r="B160" t="s">
        <v>495</v>
      </c>
      <c r="C160" t="s">
        <v>15</v>
      </c>
      <c r="D160">
        <v>24</v>
      </c>
      <c r="E160" t="s">
        <v>30</v>
      </c>
      <c r="F160" t="s">
        <v>496</v>
      </c>
      <c r="G160" t="s">
        <v>18</v>
      </c>
      <c r="H160">
        <v>1</v>
      </c>
      <c r="I160" s="1">
        <v>28000</v>
      </c>
      <c r="J160">
        <v>2</v>
      </c>
      <c r="K160" t="s">
        <v>50</v>
      </c>
      <c r="L160" t="s">
        <v>51</v>
      </c>
      <c r="M160">
        <v>2024</v>
      </c>
    </row>
    <row r="161" spans="1:13" x14ac:dyDescent="0.3">
      <c r="A161" t="s">
        <v>497</v>
      </c>
      <c r="B161" t="s">
        <v>498</v>
      </c>
      <c r="C161" t="s">
        <v>23</v>
      </c>
      <c r="D161">
        <v>31</v>
      </c>
      <c r="E161" t="s">
        <v>39</v>
      </c>
      <c r="F161" t="s">
        <v>499</v>
      </c>
      <c r="G161" t="s">
        <v>26</v>
      </c>
      <c r="H161">
        <v>8</v>
      </c>
      <c r="I161" s="1">
        <v>78000</v>
      </c>
      <c r="J161">
        <v>4</v>
      </c>
      <c r="K161" t="s">
        <v>19</v>
      </c>
      <c r="L161" t="s">
        <v>20</v>
      </c>
      <c r="M161">
        <v>2017</v>
      </c>
    </row>
    <row r="162" spans="1:13" x14ac:dyDescent="0.3">
      <c r="A162" t="s">
        <v>500</v>
      </c>
      <c r="B162" t="s">
        <v>501</v>
      </c>
      <c r="C162" t="s">
        <v>15</v>
      </c>
      <c r="D162">
        <v>28</v>
      </c>
      <c r="E162" t="s">
        <v>16</v>
      </c>
      <c r="F162" t="s">
        <v>502</v>
      </c>
      <c r="G162" t="s">
        <v>18</v>
      </c>
      <c r="H162">
        <v>5</v>
      </c>
      <c r="I162" s="1">
        <v>60000</v>
      </c>
      <c r="J162">
        <v>4</v>
      </c>
      <c r="K162" t="s">
        <v>19</v>
      </c>
      <c r="L162" t="s">
        <v>27</v>
      </c>
      <c r="M162">
        <v>2020</v>
      </c>
    </row>
    <row r="163" spans="1:13" x14ac:dyDescent="0.3">
      <c r="A163" t="s">
        <v>503</v>
      </c>
      <c r="B163" t="s">
        <v>504</v>
      </c>
      <c r="C163" t="s">
        <v>23</v>
      </c>
      <c r="D163">
        <v>39</v>
      </c>
      <c r="E163" t="s">
        <v>43</v>
      </c>
      <c r="F163" t="s">
        <v>505</v>
      </c>
      <c r="G163" t="s">
        <v>26</v>
      </c>
      <c r="H163">
        <v>16</v>
      </c>
      <c r="I163" s="1">
        <v>94000</v>
      </c>
      <c r="J163">
        <v>5</v>
      </c>
      <c r="K163" t="s">
        <v>19</v>
      </c>
      <c r="L163" t="s">
        <v>45</v>
      </c>
      <c r="M163">
        <v>2009</v>
      </c>
    </row>
    <row r="164" spans="1:13" x14ac:dyDescent="0.3">
      <c r="A164" t="s">
        <v>506</v>
      </c>
      <c r="B164" t="s">
        <v>507</v>
      </c>
      <c r="C164" t="s">
        <v>15</v>
      </c>
      <c r="D164">
        <v>44</v>
      </c>
      <c r="E164" t="s">
        <v>48</v>
      </c>
      <c r="F164" t="s">
        <v>508</v>
      </c>
      <c r="G164" t="s">
        <v>26</v>
      </c>
      <c r="H164">
        <v>21</v>
      </c>
      <c r="I164" s="1">
        <v>118000</v>
      </c>
      <c r="J164">
        <v>5</v>
      </c>
      <c r="K164" t="s">
        <v>19</v>
      </c>
      <c r="L164" t="s">
        <v>32</v>
      </c>
      <c r="M164">
        <v>2004</v>
      </c>
    </row>
    <row r="165" spans="1:13" x14ac:dyDescent="0.3">
      <c r="A165" t="s">
        <v>509</v>
      </c>
      <c r="B165" t="s">
        <v>510</v>
      </c>
      <c r="C165" t="s">
        <v>23</v>
      </c>
      <c r="D165">
        <v>25</v>
      </c>
      <c r="E165" t="s">
        <v>24</v>
      </c>
      <c r="F165" t="s">
        <v>287</v>
      </c>
      <c r="G165" t="s">
        <v>18</v>
      </c>
      <c r="H165">
        <v>2</v>
      </c>
      <c r="I165" s="1">
        <v>34000</v>
      </c>
      <c r="J165">
        <v>3</v>
      </c>
      <c r="K165" t="s">
        <v>50</v>
      </c>
      <c r="L165" t="s">
        <v>36</v>
      </c>
      <c r="M165">
        <v>2023</v>
      </c>
    </row>
    <row r="166" spans="1:13" x14ac:dyDescent="0.3">
      <c r="A166" t="s">
        <v>511</v>
      </c>
      <c r="B166" t="s">
        <v>512</v>
      </c>
      <c r="C166" t="s">
        <v>15</v>
      </c>
      <c r="D166">
        <v>36</v>
      </c>
      <c r="E166" t="s">
        <v>30</v>
      </c>
      <c r="F166" t="s">
        <v>513</v>
      </c>
      <c r="G166" t="s">
        <v>26</v>
      </c>
      <c r="H166">
        <v>13</v>
      </c>
      <c r="I166" s="1">
        <v>88000</v>
      </c>
      <c r="J166">
        <v>4</v>
      </c>
      <c r="K166" t="s">
        <v>19</v>
      </c>
      <c r="L166" t="s">
        <v>20</v>
      </c>
      <c r="M166">
        <v>2012</v>
      </c>
    </row>
    <row r="167" spans="1:13" x14ac:dyDescent="0.3">
      <c r="A167" t="s">
        <v>514</v>
      </c>
      <c r="B167" t="s">
        <v>515</v>
      </c>
      <c r="C167" t="s">
        <v>23</v>
      </c>
      <c r="D167">
        <v>29</v>
      </c>
      <c r="E167" t="s">
        <v>43</v>
      </c>
      <c r="F167" t="s">
        <v>516</v>
      </c>
      <c r="G167" t="s">
        <v>18</v>
      </c>
      <c r="H167">
        <v>6</v>
      </c>
      <c r="I167" s="1">
        <v>52000</v>
      </c>
      <c r="J167">
        <v>3</v>
      </c>
      <c r="K167" t="s">
        <v>50</v>
      </c>
      <c r="L167" t="s">
        <v>27</v>
      </c>
      <c r="M167">
        <v>2019</v>
      </c>
    </row>
    <row r="168" spans="1:13" x14ac:dyDescent="0.3">
      <c r="A168" t="s">
        <v>517</v>
      </c>
      <c r="B168" t="s">
        <v>518</v>
      </c>
      <c r="C168" t="s">
        <v>15</v>
      </c>
      <c r="D168">
        <v>48</v>
      </c>
      <c r="E168" t="s">
        <v>39</v>
      </c>
      <c r="F168" t="s">
        <v>519</v>
      </c>
      <c r="G168" t="s">
        <v>26</v>
      </c>
      <c r="H168">
        <v>24</v>
      </c>
      <c r="I168" s="1">
        <v>150000</v>
      </c>
      <c r="J168">
        <v>5</v>
      </c>
      <c r="K168" t="s">
        <v>19</v>
      </c>
      <c r="L168" t="s">
        <v>51</v>
      </c>
      <c r="M168">
        <v>2001</v>
      </c>
    </row>
    <row r="169" spans="1:13" x14ac:dyDescent="0.3">
      <c r="A169" t="s">
        <v>520</v>
      </c>
      <c r="B169" t="s">
        <v>521</v>
      </c>
      <c r="C169" t="s">
        <v>23</v>
      </c>
      <c r="D169">
        <v>34</v>
      </c>
      <c r="E169" t="s">
        <v>48</v>
      </c>
      <c r="F169" t="s">
        <v>522</v>
      </c>
      <c r="G169" t="s">
        <v>72</v>
      </c>
      <c r="H169">
        <v>11</v>
      </c>
      <c r="I169" s="1">
        <v>80000</v>
      </c>
      <c r="J169">
        <v>4</v>
      </c>
      <c r="K169" t="s">
        <v>19</v>
      </c>
      <c r="L169" t="s">
        <v>36</v>
      </c>
      <c r="M169">
        <v>2014</v>
      </c>
    </row>
    <row r="170" spans="1:13" x14ac:dyDescent="0.3">
      <c r="A170" t="s">
        <v>523</v>
      </c>
      <c r="B170" t="s">
        <v>524</v>
      </c>
      <c r="C170" t="s">
        <v>15</v>
      </c>
      <c r="D170">
        <v>31</v>
      </c>
      <c r="E170" t="s">
        <v>16</v>
      </c>
      <c r="F170" t="s">
        <v>525</v>
      </c>
      <c r="G170" t="s">
        <v>72</v>
      </c>
      <c r="H170">
        <v>8</v>
      </c>
      <c r="I170" s="1">
        <v>76000</v>
      </c>
      <c r="J170">
        <v>4</v>
      </c>
      <c r="K170" t="s">
        <v>19</v>
      </c>
      <c r="L170" t="s">
        <v>20</v>
      </c>
      <c r="M170">
        <v>2017</v>
      </c>
    </row>
    <row r="171" spans="1:13" x14ac:dyDescent="0.3">
      <c r="A171" t="s">
        <v>526</v>
      </c>
      <c r="B171" t="s">
        <v>527</v>
      </c>
      <c r="C171" t="s">
        <v>23</v>
      </c>
      <c r="D171">
        <v>27</v>
      </c>
      <c r="E171" t="s">
        <v>24</v>
      </c>
      <c r="F171" t="s">
        <v>528</v>
      </c>
      <c r="G171" t="s">
        <v>72</v>
      </c>
      <c r="H171">
        <v>4</v>
      </c>
      <c r="I171" s="1">
        <v>48000</v>
      </c>
      <c r="J171">
        <v>3</v>
      </c>
      <c r="K171" t="s">
        <v>50</v>
      </c>
      <c r="L171" t="s">
        <v>32</v>
      </c>
      <c r="M171">
        <v>2021</v>
      </c>
    </row>
    <row r="172" spans="1:13" x14ac:dyDescent="0.3">
      <c r="A172" t="s">
        <v>529</v>
      </c>
      <c r="B172" t="s">
        <v>110</v>
      </c>
      <c r="C172" t="s">
        <v>15</v>
      </c>
      <c r="D172">
        <v>43</v>
      </c>
      <c r="E172" t="s">
        <v>30</v>
      </c>
      <c r="F172" t="s">
        <v>530</v>
      </c>
      <c r="G172" t="s">
        <v>26</v>
      </c>
      <c r="H172">
        <v>18</v>
      </c>
      <c r="I172" s="1">
        <v>108000</v>
      </c>
      <c r="J172">
        <v>5</v>
      </c>
      <c r="K172" t="s">
        <v>19</v>
      </c>
      <c r="L172" t="s">
        <v>45</v>
      </c>
      <c r="M172">
        <v>2007</v>
      </c>
    </row>
    <row r="173" spans="1:13" x14ac:dyDescent="0.3">
      <c r="A173" t="s">
        <v>531</v>
      </c>
      <c r="B173" t="s">
        <v>532</v>
      </c>
      <c r="C173" t="s">
        <v>23</v>
      </c>
      <c r="D173">
        <v>30</v>
      </c>
      <c r="E173" t="s">
        <v>43</v>
      </c>
      <c r="F173" t="s">
        <v>533</v>
      </c>
      <c r="G173" t="s">
        <v>18</v>
      </c>
      <c r="H173">
        <v>7</v>
      </c>
      <c r="I173" s="1">
        <v>58000</v>
      </c>
      <c r="J173">
        <v>3</v>
      </c>
      <c r="K173" t="s">
        <v>19</v>
      </c>
      <c r="L173" t="s">
        <v>51</v>
      </c>
      <c r="M173">
        <v>2018</v>
      </c>
    </row>
    <row r="174" spans="1:13" x14ac:dyDescent="0.3">
      <c r="A174" t="s">
        <v>534</v>
      </c>
      <c r="B174" t="s">
        <v>535</v>
      </c>
      <c r="C174" t="s">
        <v>15</v>
      </c>
      <c r="D174">
        <v>50</v>
      </c>
      <c r="E174" t="s">
        <v>39</v>
      </c>
      <c r="F174" t="s">
        <v>536</v>
      </c>
      <c r="G174" t="s">
        <v>26</v>
      </c>
      <c r="H174">
        <v>26</v>
      </c>
      <c r="I174" s="1">
        <v>168000</v>
      </c>
      <c r="J174">
        <v>5</v>
      </c>
      <c r="K174" t="s">
        <v>19</v>
      </c>
      <c r="L174" t="s">
        <v>27</v>
      </c>
      <c r="M174">
        <v>1998</v>
      </c>
    </row>
    <row r="175" spans="1:13" x14ac:dyDescent="0.3">
      <c r="A175" t="s">
        <v>537</v>
      </c>
      <c r="B175" t="s">
        <v>538</v>
      </c>
      <c r="C175" t="s">
        <v>23</v>
      </c>
      <c r="D175">
        <v>24</v>
      </c>
      <c r="E175" t="s">
        <v>48</v>
      </c>
      <c r="F175" t="s">
        <v>539</v>
      </c>
      <c r="G175" t="s">
        <v>18</v>
      </c>
      <c r="H175">
        <v>1</v>
      </c>
      <c r="I175" s="1">
        <v>23000</v>
      </c>
      <c r="J175">
        <v>2</v>
      </c>
      <c r="K175" t="s">
        <v>50</v>
      </c>
      <c r="L175" t="s">
        <v>20</v>
      </c>
      <c r="M175">
        <v>2024</v>
      </c>
    </row>
    <row r="176" spans="1:13" x14ac:dyDescent="0.3">
      <c r="A176" t="s">
        <v>540</v>
      </c>
      <c r="B176" t="s">
        <v>98</v>
      </c>
      <c r="C176" t="s">
        <v>15</v>
      </c>
      <c r="D176">
        <v>38</v>
      </c>
      <c r="E176" t="s">
        <v>16</v>
      </c>
      <c r="F176" t="s">
        <v>541</v>
      </c>
      <c r="G176" t="s">
        <v>72</v>
      </c>
      <c r="H176">
        <v>15</v>
      </c>
      <c r="I176" s="1">
        <v>98000</v>
      </c>
      <c r="J176">
        <v>4</v>
      </c>
      <c r="K176" t="s">
        <v>19</v>
      </c>
      <c r="L176" t="s">
        <v>36</v>
      </c>
      <c r="M176">
        <v>2010</v>
      </c>
    </row>
    <row r="177" spans="1:13" x14ac:dyDescent="0.3">
      <c r="A177" t="s">
        <v>542</v>
      </c>
      <c r="B177" t="s">
        <v>101</v>
      </c>
      <c r="C177" t="s">
        <v>23</v>
      </c>
      <c r="D177">
        <v>41</v>
      </c>
      <c r="E177" t="s">
        <v>24</v>
      </c>
      <c r="F177" t="s">
        <v>543</v>
      </c>
      <c r="G177" t="s">
        <v>26</v>
      </c>
      <c r="H177">
        <v>17</v>
      </c>
      <c r="I177" s="1">
        <v>104000</v>
      </c>
      <c r="J177">
        <v>5</v>
      </c>
      <c r="K177" t="s">
        <v>19</v>
      </c>
      <c r="L177" t="s">
        <v>32</v>
      </c>
      <c r="M177">
        <v>2008</v>
      </c>
    </row>
    <row r="178" spans="1:13" x14ac:dyDescent="0.3">
      <c r="A178" t="s">
        <v>544</v>
      </c>
      <c r="B178" t="s">
        <v>387</v>
      </c>
      <c r="C178" t="s">
        <v>15</v>
      </c>
      <c r="D178">
        <v>34</v>
      </c>
      <c r="E178" t="s">
        <v>30</v>
      </c>
      <c r="F178" t="s">
        <v>545</v>
      </c>
      <c r="G178" t="s">
        <v>26</v>
      </c>
      <c r="H178">
        <v>11</v>
      </c>
      <c r="I178" s="1">
        <v>90000</v>
      </c>
      <c r="J178">
        <v>4</v>
      </c>
      <c r="K178" t="s">
        <v>19</v>
      </c>
      <c r="L178" t="s">
        <v>45</v>
      </c>
      <c r="M178">
        <v>2014</v>
      </c>
    </row>
    <row r="179" spans="1:13" x14ac:dyDescent="0.3">
      <c r="A179" t="s">
        <v>546</v>
      </c>
      <c r="B179" t="s">
        <v>107</v>
      </c>
      <c r="C179" t="s">
        <v>23</v>
      </c>
      <c r="D179">
        <v>28</v>
      </c>
      <c r="E179" t="s">
        <v>43</v>
      </c>
      <c r="F179" t="s">
        <v>547</v>
      </c>
      <c r="G179" t="s">
        <v>72</v>
      </c>
      <c r="H179">
        <v>5</v>
      </c>
      <c r="I179" s="1">
        <v>62000</v>
      </c>
      <c r="J179">
        <v>3</v>
      </c>
      <c r="K179" t="s">
        <v>50</v>
      </c>
      <c r="L179" t="s">
        <v>51</v>
      </c>
      <c r="M179">
        <v>2020</v>
      </c>
    </row>
    <row r="180" spans="1:13" x14ac:dyDescent="0.3">
      <c r="A180" t="s">
        <v>548</v>
      </c>
      <c r="B180" t="s">
        <v>549</v>
      </c>
      <c r="C180" t="s">
        <v>15</v>
      </c>
      <c r="D180">
        <v>46</v>
      </c>
      <c r="E180" t="s">
        <v>48</v>
      </c>
      <c r="F180" t="s">
        <v>550</v>
      </c>
      <c r="G180" t="s">
        <v>26</v>
      </c>
      <c r="H180">
        <v>22</v>
      </c>
      <c r="I180" s="1">
        <v>160000</v>
      </c>
      <c r="J180">
        <v>5</v>
      </c>
      <c r="K180" t="s">
        <v>19</v>
      </c>
      <c r="L180" t="s">
        <v>20</v>
      </c>
      <c r="M180">
        <v>2002</v>
      </c>
    </row>
    <row r="181" spans="1:13" x14ac:dyDescent="0.3">
      <c r="A181" t="s">
        <v>551</v>
      </c>
      <c r="B181" t="s">
        <v>552</v>
      </c>
      <c r="C181" t="s">
        <v>23</v>
      </c>
      <c r="D181">
        <v>32</v>
      </c>
      <c r="E181" t="s">
        <v>24</v>
      </c>
      <c r="F181" t="s">
        <v>553</v>
      </c>
      <c r="G181" t="s">
        <v>72</v>
      </c>
      <c r="H181">
        <v>9</v>
      </c>
      <c r="I181" s="1">
        <v>72000</v>
      </c>
      <c r="J181">
        <v>4</v>
      </c>
      <c r="K181" t="s">
        <v>19</v>
      </c>
      <c r="L181" t="s">
        <v>27</v>
      </c>
      <c r="M181">
        <v>2016</v>
      </c>
    </row>
    <row r="182" spans="1:13" x14ac:dyDescent="0.3">
      <c r="A182" t="s">
        <v>554</v>
      </c>
      <c r="B182" t="s">
        <v>555</v>
      </c>
      <c r="C182" t="s">
        <v>15</v>
      </c>
      <c r="D182">
        <v>26</v>
      </c>
      <c r="E182" t="s">
        <v>16</v>
      </c>
      <c r="F182" t="s">
        <v>556</v>
      </c>
      <c r="G182" t="s">
        <v>18</v>
      </c>
      <c r="H182">
        <v>3</v>
      </c>
      <c r="I182" s="1">
        <v>46000</v>
      </c>
      <c r="J182">
        <v>3</v>
      </c>
      <c r="K182" t="s">
        <v>50</v>
      </c>
      <c r="L182" t="s">
        <v>36</v>
      </c>
      <c r="M182">
        <v>2022</v>
      </c>
    </row>
    <row r="183" spans="1:13" x14ac:dyDescent="0.3">
      <c r="A183" t="s">
        <v>557</v>
      </c>
      <c r="B183" t="s">
        <v>558</v>
      </c>
      <c r="C183" t="s">
        <v>23</v>
      </c>
      <c r="D183">
        <v>44</v>
      </c>
      <c r="E183" t="s">
        <v>30</v>
      </c>
      <c r="F183" t="s">
        <v>559</v>
      </c>
      <c r="G183" t="s">
        <v>26</v>
      </c>
      <c r="H183">
        <v>19</v>
      </c>
      <c r="I183" s="1">
        <v>120000</v>
      </c>
      <c r="J183">
        <v>5</v>
      </c>
      <c r="K183" t="s">
        <v>19</v>
      </c>
      <c r="L183" t="s">
        <v>32</v>
      </c>
      <c r="M183">
        <v>2006</v>
      </c>
    </row>
    <row r="184" spans="1:13" x14ac:dyDescent="0.3">
      <c r="A184" t="s">
        <v>560</v>
      </c>
      <c r="B184" t="s">
        <v>229</v>
      </c>
      <c r="C184" t="s">
        <v>15</v>
      </c>
      <c r="D184">
        <v>35</v>
      </c>
      <c r="E184" t="s">
        <v>39</v>
      </c>
      <c r="F184" t="s">
        <v>561</v>
      </c>
      <c r="G184" t="s">
        <v>26</v>
      </c>
      <c r="H184">
        <v>12</v>
      </c>
      <c r="I184" s="1">
        <v>86000</v>
      </c>
      <c r="J184">
        <v>4</v>
      </c>
      <c r="K184" t="s">
        <v>19</v>
      </c>
      <c r="L184" t="s">
        <v>20</v>
      </c>
      <c r="M184">
        <v>2013</v>
      </c>
    </row>
    <row r="185" spans="1:13" x14ac:dyDescent="0.3">
      <c r="A185" t="s">
        <v>562</v>
      </c>
      <c r="B185" t="s">
        <v>563</v>
      </c>
      <c r="C185" t="s">
        <v>23</v>
      </c>
      <c r="D185">
        <v>29</v>
      </c>
      <c r="E185" t="s">
        <v>48</v>
      </c>
      <c r="F185" t="s">
        <v>564</v>
      </c>
      <c r="G185" t="s">
        <v>18</v>
      </c>
      <c r="H185">
        <v>6</v>
      </c>
      <c r="I185" s="1">
        <v>56000</v>
      </c>
      <c r="J185">
        <v>3</v>
      </c>
      <c r="K185" t="s">
        <v>50</v>
      </c>
      <c r="L185" t="s">
        <v>45</v>
      </c>
      <c r="M185">
        <v>2019</v>
      </c>
    </row>
    <row r="186" spans="1:13" x14ac:dyDescent="0.3">
      <c r="A186" t="s">
        <v>565</v>
      </c>
      <c r="B186" t="s">
        <v>139</v>
      </c>
      <c r="C186" t="s">
        <v>15</v>
      </c>
      <c r="D186">
        <v>41</v>
      </c>
      <c r="E186" t="s">
        <v>43</v>
      </c>
      <c r="F186" t="s">
        <v>566</v>
      </c>
      <c r="G186" t="s">
        <v>26</v>
      </c>
      <c r="H186">
        <v>17</v>
      </c>
      <c r="I186" s="1">
        <v>112000</v>
      </c>
      <c r="J186">
        <v>5</v>
      </c>
      <c r="K186" t="s">
        <v>19</v>
      </c>
      <c r="L186" t="s">
        <v>27</v>
      </c>
      <c r="M186">
        <v>2008</v>
      </c>
    </row>
    <row r="187" spans="1:13" x14ac:dyDescent="0.3">
      <c r="A187" t="s">
        <v>567</v>
      </c>
      <c r="B187" t="s">
        <v>568</v>
      </c>
      <c r="C187" t="s">
        <v>23</v>
      </c>
      <c r="D187">
        <v>37</v>
      </c>
      <c r="E187" t="s">
        <v>24</v>
      </c>
      <c r="F187" t="s">
        <v>569</v>
      </c>
      <c r="G187" t="s">
        <v>26</v>
      </c>
      <c r="H187">
        <v>14</v>
      </c>
      <c r="I187" s="1">
        <v>92000</v>
      </c>
      <c r="J187">
        <v>4</v>
      </c>
      <c r="K187" t="s">
        <v>19</v>
      </c>
      <c r="L187" t="s">
        <v>51</v>
      </c>
      <c r="M187">
        <v>2011</v>
      </c>
    </row>
    <row r="188" spans="1:13" x14ac:dyDescent="0.3">
      <c r="A188" t="s">
        <v>570</v>
      </c>
      <c r="B188" t="s">
        <v>405</v>
      </c>
      <c r="C188" t="s">
        <v>15</v>
      </c>
      <c r="D188">
        <v>33</v>
      </c>
      <c r="E188" t="s">
        <v>30</v>
      </c>
      <c r="F188" t="s">
        <v>571</v>
      </c>
      <c r="G188" t="s">
        <v>72</v>
      </c>
      <c r="H188">
        <v>10</v>
      </c>
      <c r="I188" s="1">
        <v>82000</v>
      </c>
      <c r="J188">
        <v>4</v>
      </c>
      <c r="K188" t="s">
        <v>19</v>
      </c>
      <c r="L188" t="s">
        <v>20</v>
      </c>
      <c r="M188">
        <v>2015</v>
      </c>
    </row>
    <row r="189" spans="1:13" x14ac:dyDescent="0.3">
      <c r="A189" t="s">
        <v>572</v>
      </c>
      <c r="B189" t="s">
        <v>573</v>
      </c>
      <c r="C189" t="s">
        <v>23</v>
      </c>
      <c r="D189">
        <v>24</v>
      </c>
      <c r="E189" t="s">
        <v>48</v>
      </c>
      <c r="F189" t="s">
        <v>574</v>
      </c>
      <c r="G189" t="s">
        <v>18</v>
      </c>
      <c r="H189">
        <v>1</v>
      </c>
      <c r="I189" s="1">
        <v>22000</v>
      </c>
      <c r="J189">
        <v>2</v>
      </c>
      <c r="K189" t="s">
        <v>50</v>
      </c>
      <c r="L189" t="s">
        <v>36</v>
      </c>
      <c r="M189">
        <v>2024</v>
      </c>
    </row>
    <row r="190" spans="1:13" x14ac:dyDescent="0.3">
      <c r="A190" t="s">
        <v>575</v>
      </c>
      <c r="B190" t="s">
        <v>576</v>
      </c>
      <c r="C190" t="s">
        <v>15</v>
      </c>
      <c r="D190">
        <v>49</v>
      </c>
      <c r="E190" t="s">
        <v>39</v>
      </c>
      <c r="F190" t="s">
        <v>577</v>
      </c>
      <c r="G190" t="s">
        <v>26</v>
      </c>
      <c r="H190">
        <v>25</v>
      </c>
      <c r="I190" s="1">
        <v>162000</v>
      </c>
      <c r="J190">
        <v>5</v>
      </c>
      <c r="K190" t="s">
        <v>19</v>
      </c>
      <c r="L190" t="s">
        <v>32</v>
      </c>
      <c r="M190">
        <v>1999</v>
      </c>
    </row>
    <row r="191" spans="1:13" x14ac:dyDescent="0.3">
      <c r="A191" t="s">
        <v>578</v>
      </c>
      <c r="B191" t="s">
        <v>579</v>
      </c>
      <c r="C191" t="s">
        <v>23</v>
      </c>
      <c r="D191">
        <v>31</v>
      </c>
      <c r="E191" t="s">
        <v>24</v>
      </c>
      <c r="F191" t="s">
        <v>580</v>
      </c>
      <c r="G191" t="s">
        <v>26</v>
      </c>
      <c r="H191">
        <v>8</v>
      </c>
      <c r="I191" s="1">
        <v>78000</v>
      </c>
      <c r="J191">
        <v>4</v>
      </c>
      <c r="K191" t="s">
        <v>19</v>
      </c>
      <c r="L191" t="s">
        <v>45</v>
      </c>
      <c r="M191">
        <v>2017</v>
      </c>
    </row>
    <row r="192" spans="1:13" x14ac:dyDescent="0.3">
      <c r="A192" t="s">
        <v>581</v>
      </c>
      <c r="B192" t="s">
        <v>582</v>
      </c>
      <c r="C192" t="s">
        <v>15</v>
      </c>
      <c r="D192">
        <v>28</v>
      </c>
      <c r="E192" t="s">
        <v>16</v>
      </c>
      <c r="F192" t="s">
        <v>583</v>
      </c>
      <c r="G192" t="s">
        <v>18</v>
      </c>
      <c r="H192">
        <v>5</v>
      </c>
      <c r="I192" s="1">
        <v>58000</v>
      </c>
      <c r="J192">
        <v>3</v>
      </c>
      <c r="K192" t="s">
        <v>19</v>
      </c>
      <c r="L192" t="s">
        <v>51</v>
      </c>
      <c r="M192">
        <v>2020</v>
      </c>
    </row>
    <row r="193" spans="1:13" x14ac:dyDescent="0.3">
      <c r="A193" t="s">
        <v>584</v>
      </c>
      <c r="B193" t="s">
        <v>585</v>
      </c>
      <c r="C193" t="s">
        <v>23</v>
      </c>
      <c r="D193">
        <v>43</v>
      </c>
      <c r="E193" t="s">
        <v>30</v>
      </c>
      <c r="F193" t="s">
        <v>586</v>
      </c>
      <c r="G193" t="s">
        <v>26</v>
      </c>
      <c r="H193">
        <v>20</v>
      </c>
      <c r="I193" s="1">
        <v>130000</v>
      </c>
      <c r="J193">
        <v>5</v>
      </c>
      <c r="K193" t="s">
        <v>19</v>
      </c>
      <c r="L193" t="s">
        <v>27</v>
      </c>
      <c r="M193">
        <v>2004</v>
      </c>
    </row>
    <row r="194" spans="1:13" x14ac:dyDescent="0.3">
      <c r="A194" t="s">
        <v>587</v>
      </c>
      <c r="B194" t="s">
        <v>588</v>
      </c>
      <c r="C194" t="s">
        <v>15</v>
      </c>
      <c r="D194">
        <v>36</v>
      </c>
      <c r="E194" t="s">
        <v>43</v>
      </c>
      <c r="F194" t="s">
        <v>589</v>
      </c>
      <c r="G194" t="s">
        <v>26</v>
      </c>
      <c r="H194">
        <v>13</v>
      </c>
      <c r="I194" s="1">
        <v>90000</v>
      </c>
      <c r="J194">
        <v>4</v>
      </c>
      <c r="K194" t="s">
        <v>19</v>
      </c>
      <c r="L194" t="s">
        <v>20</v>
      </c>
      <c r="M194">
        <v>2012</v>
      </c>
    </row>
    <row r="195" spans="1:13" x14ac:dyDescent="0.3">
      <c r="A195" t="s">
        <v>590</v>
      </c>
      <c r="B195" t="s">
        <v>591</v>
      </c>
      <c r="C195" t="s">
        <v>23</v>
      </c>
      <c r="D195">
        <v>34</v>
      </c>
      <c r="E195" t="s">
        <v>48</v>
      </c>
      <c r="F195" t="s">
        <v>592</v>
      </c>
      <c r="G195" t="s">
        <v>26</v>
      </c>
      <c r="H195">
        <v>11</v>
      </c>
      <c r="I195" s="1">
        <v>82000</v>
      </c>
      <c r="J195">
        <v>4</v>
      </c>
      <c r="K195" t="s">
        <v>19</v>
      </c>
      <c r="L195" t="s">
        <v>32</v>
      </c>
      <c r="M195">
        <v>2014</v>
      </c>
    </row>
    <row r="196" spans="1:13" x14ac:dyDescent="0.3">
      <c r="A196" t="s">
        <v>593</v>
      </c>
      <c r="B196" t="s">
        <v>594</v>
      </c>
      <c r="C196" t="s">
        <v>15</v>
      </c>
      <c r="D196">
        <v>47</v>
      </c>
      <c r="E196" t="s">
        <v>39</v>
      </c>
      <c r="F196" t="s">
        <v>595</v>
      </c>
      <c r="G196" t="s">
        <v>26</v>
      </c>
      <c r="H196">
        <v>23</v>
      </c>
      <c r="I196" s="1">
        <v>148000</v>
      </c>
      <c r="J196">
        <v>5</v>
      </c>
      <c r="K196" t="s">
        <v>19</v>
      </c>
      <c r="L196" t="s">
        <v>36</v>
      </c>
      <c r="M196">
        <v>2002</v>
      </c>
    </row>
    <row r="197" spans="1:13" x14ac:dyDescent="0.3">
      <c r="A197" t="s">
        <v>596</v>
      </c>
      <c r="B197" t="s">
        <v>226</v>
      </c>
      <c r="C197" t="s">
        <v>23</v>
      </c>
      <c r="D197">
        <v>27</v>
      </c>
      <c r="E197" t="s">
        <v>24</v>
      </c>
      <c r="F197" t="s">
        <v>597</v>
      </c>
      <c r="G197" t="s">
        <v>72</v>
      </c>
      <c r="H197">
        <v>4</v>
      </c>
      <c r="I197" s="1">
        <v>50000</v>
      </c>
      <c r="J197">
        <v>3</v>
      </c>
      <c r="K197" t="s">
        <v>50</v>
      </c>
      <c r="L197" t="s">
        <v>45</v>
      </c>
      <c r="M197">
        <v>2021</v>
      </c>
    </row>
    <row r="198" spans="1:13" x14ac:dyDescent="0.3">
      <c r="A198" t="s">
        <v>598</v>
      </c>
      <c r="B198" t="s">
        <v>393</v>
      </c>
      <c r="C198" t="s">
        <v>15</v>
      </c>
      <c r="D198">
        <v>32</v>
      </c>
      <c r="E198" t="s">
        <v>30</v>
      </c>
      <c r="F198" t="s">
        <v>599</v>
      </c>
      <c r="G198" t="s">
        <v>72</v>
      </c>
      <c r="H198">
        <v>9</v>
      </c>
      <c r="I198" s="1">
        <v>72000</v>
      </c>
      <c r="J198">
        <v>4</v>
      </c>
      <c r="K198" t="s">
        <v>19</v>
      </c>
      <c r="L198" t="s">
        <v>51</v>
      </c>
      <c r="M198">
        <v>2016</v>
      </c>
    </row>
    <row r="199" spans="1:13" x14ac:dyDescent="0.3">
      <c r="A199" t="s">
        <v>600</v>
      </c>
      <c r="B199" t="s">
        <v>601</v>
      </c>
      <c r="C199" t="s">
        <v>23</v>
      </c>
      <c r="D199">
        <v>25</v>
      </c>
      <c r="E199" t="s">
        <v>43</v>
      </c>
      <c r="F199" t="s">
        <v>602</v>
      </c>
      <c r="G199" t="s">
        <v>18</v>
      </c>
      <c r="H199">
        <v>2</v>
      </c>
      <c r="I199" s="1">
        <v>30000</v>
      </c>
      <c r="J199">
        <v>2</v>
      </c>
      <c r="K199" t="s">
        <v>50</v>
      </c>
      <c r="L199" t="s">
        <v>20</v>
      </c>
      <c r="M199">
        <v>2023</v>
      </c>
    </row>
    <row r="200" spans="1:13" x14ac:dyDescent="0.3">
      <c r="A200" t="s">
        <v>603</v>
      </c>
      <c r="B200" t="s">
        <v>604</v>
      </c>
      <c r="C200" t="s">
        <v>15</v>
      </c>
      <c r="D200">
        <v>40</v>
      </c>
      <c r="E200" t="s">
        <v>16</v>
      </c>
      <c r="F200" t="s">
        <v>605</v>
      </c>
      <c r="G200" t="s">
        <v>26</v>
      </c>
      <c r="H200">
        <v>17</v>
      </c>
      <c r="I200" s="1">
        <v>102000</v>
      </c>
      <c r="J200">
        <v>5</v>
      </c>
      <c r="K200" t="s">
        <v>19</v>
      </c>
      <c r="L200" t="s">
        <v>27</v>
      </c>
      <c r="M200">
        <v>2009</v>
      </c>
    </row>
    <row r="201" spans="1:13" x14ac:dyDescent="0.3">
      <c r="A201" t="s">
        <v>606</v>
      </c>
      <c r="B201" t="s">
        <v>607</v>
      </c>
      <c r="C201" t="s">
        <v>23</v>
      </c>
      <c r="D201">
        <v>35</v>
      </c>
      <c r="E201" t="s">
        <v>48</v>
      </c>
      <c r="F201" t="s">
        <v>608</v>
      </c>
      <c r="G201" t="s">
        <v>26</v>
      </c>
      <c r="H201">
        <v>12</v>
      </c>
      <c r="I201" s="1">
        <v>86000</v>
      </c>
      <c r="J201">
        <v>4</v>
      </c>
      <c r="K201" t="s">
        <v>19</v>
      </c>
      <c r="L201" t="s">
        <v>32</v>
      </c>
      <c r="M201">
        <v>2013</v>
      </c>
    </row>
    <row r="202" spans="1:13" x14ac:dyDescent="0.3">
      <c r="A202" t="s">
        <v>609</v>
      </c>
      <c r="B202" t="s">
        <v>610</v>
      </c>
      <c r="C202" t="s">
        <v>23</v>
      </c>
      <c r="D202">
        <v>28</v>
      </c>
      <c r="E202" t="s">
        <v>24</v>
      </c>
      <c r="F202" t="s">
        <v>611</v>
      </c>
      <c r="G202" t="s">
        <v>18</v>
      </c>
      <c r="H202">
        <v>5</v>
      </c>
      <c r="I202" s="1">
        <v>48000</v>
      </c>
      <c r="J202">
        <v>3</v>
      </c>
      <c r="K202" t="s">
        <v>50</v>
      </c>
      <c r="L202" t="s">
        <v>20</v>
      </c>
      <c r="M202">
        <v>2020</v>
      </c>
    </row>
    <row r="203" spans="1:13" x14ac:dyDescent="0.3">
      <c r="A203" t="s">
        <v>612</v>
      </c>
      <c r="B203" t="s">
        <v>613</v>
      </c>
      <c r="C203" t="s">
        <v>15</v>
      </c>
      <c r="D203">
        <v>34</v>
      </c>
      <c r="E203" t="s">
        <v>16</v>
      </c>
      <c r="F203" t="s">
        <v>614</v>
      </c>
      <c r="G203" t="s">
        <v>72</v>
      </c>
      <c r="H203">
        <v>11</v>
      </c>
      <c r="I203" s="1">
        <v>88000</v>
      </c>
      <c r="J203">
        <v>4</v>
      </c>
      <c r="K203" t="s">
        <v>19</v>
      </c>
      <c r="L203" t="s">
        <v>36</v>
      </c>
      <c r="M203">
        <v>2014</v>
      </c>
    </row>
    <row r="204" spans="1:13" x14ac:dyDescent="0.3">
      <c r="A204" t="s">
        <v>615</v>
      </c>
      <c r="B204" t="s">
        <v>616</v>
      </c>
      <c r="C204" t="s">
        <v>23</v>
      </c>
      <c r="D204">
        <v>42</v>
      </c>
      <c r="E204" t="s">
        <v>30</v>
      </c>
      <c r="F204" t="s">
        <v>617</v>
      </c>
      <c r="G204" t="s">
        <v>26</v>
      </c>
      <c r="H204">
        <v>18</v>
      </c>
      <c r="I204" s="1">
        <v>110000</v>
      </c>
      <c r="J204">
        <v>5</v>
      </c>
      <c r="K204" t="s">
        <v>19</v>
      </c>
      <c r="L204" t="s">
        <v>32</v>
      </c>
      <c r="M204">
        <v>2007</v>
      </c>
    </row>
    <row r="205" spans="1:13" x14ac:dyDescent="0.3">
      <c r="A205" t="s">
        <v>618</v>
      </c>
      <c r="B205" t="s">
        <v>619</v>
      </c>
      <c r="C205" t="s">
        <v>15</v>
      </c>
      <c r="D205">
        <v>27</v>
      </c>
      <c r="E205" t="s">
        <v>43</v>
      </c>
      <c r="F205" t="s">
        <v>620</v>
      </c>
      <c r="G205" t="s">
        <v>18</v>
      </c>
      <c r="H205">
        <v>4</v>
      </c>
      <c r="I205" s="1">
        <v>42000</v>
      </c>
      <c r="J205">
        <v>3</v>
      </c>
      <c r="K205" t="s">
        <v>50</v>
      </c>
      <c r="L205" t="s">
        <v>51</v>
      </c>
      <c r="M205">
        <v>2021</v>
      </c>
    </row>
    <row r="206" spans="1:13" x14ac:dyDescent="0.3">
      <c r="A206" t="s">
        <v>621</v>
      </c>
      <c r="B206" t="s">
        <v>622</v>
      </c>
      <c r="C206" t="s">
        <v>23</v>
      </c>
      <c r="D206">
        <v>36</v>
      </c>
      <c r="E206" t="s">
        <v>48</v>
      </c>
      <c r="F206" t="s">
        <v>623</v>
      </c>
      <c r="G206" t="s">
        <v>26</v>
      </c>
      <c r="H206">
        <v>13</v>
      </c>
      <c r="I206" s="1">
        <v>82000</v>
      </c>
      <c r="J206">
        <v>4</v>
      </c>
      <c r="K206" t="s">
        <v>19</v>
      </c>
      <c r="L206" t="s">
        <v>45</v>
      </c>
      <c r="M206">
        <v>2012</v>
      </c>
    </row>
    <row r="207" spans="1:13" x14ac:dyDescent="0.3">
      <c r="A207" t="s">
        <v>624</v>
      </c>
      <c r="B207" t="s">
        <v>323</v>
      </c>
      <c r="C207" t="s">
        <v>15</v>
      </c>
      <c r="D207">
        <v>49</v>
      </c>
      <c r="E207" t="s">
        <v>39</v>
      </c>
      <c r="F207" t="s">
        <v>625</v>
      </c>
      <c r="G207" t="s">
        <v>26</v>
      </c>
      <c r="H207">
        <v>25</v>
      </c>
      <c r="I207" s="1">
        <v>158000</v>
      </c>
      <c r="J207">
        <v>5</v>
      </c>
      <c r="K207" t="s">
        <v>19</v>
      </c>
      <c r="L207" t="s">
        <v>27</v>
      </c>
      <c r="M207">
        <v>1999</v>
      </c>
    </row>
    <row r="208" spans="1:13" x14ac:dyDescent="0.3">
      <c r="A208" t="s">
        <v>626</v>
      </c>
      <c r="B208" t="s">
        <v>627</v>
      </c>
      <c r="C208" t="s">
        <v>15</v>
      </c>
      <c r="D208">
        <v>31</v>
      </c>
      <c r="E208" t="s">
        <v>16</v>
      </c>
      <c r="F208" t="s">
        <v>628</v>
      </c>
      <c r="G208" t="s">
        <v>72</v>
      </c>
      <c r="H208">
        <v>8</v>
      </c>
      <c r="I208" s="1">
        <v>78000</v>
      </c>
      <c r="J208">
        <v>4</v>
      </c>
      <c r="K208" t="s">
        <v>19</v>
      </c>
      <c r="L208" t="s">
        <v>20</v>
      </c>
      <c r="M208">
        <v>2017</v>
      </c>
    </row>
    <row r="209" spans="1:13" x14ac:dyDescent="0.3">
      <c r="A209" t="s">
        <v>629</v>
      </c>
      <c r="B209" t="s">
        <v>630</v>
      </c>
      <c r="C209" t="s">
        <v>23</v>
      </c>
      <c r="D209">
        <v>26</v>
      </c>
      <c r="E209" t="s">
        <v>24</v>
      </c>
      <c r="F209" t="s">
        <v>631</v>
      </c>
      <c r="G209" t="s">
        <v>18</v>
      </c>
      <c r="H209">
        <v>3</v>
      </c>
      <c r="I209" s="1">
        <v>39000</v>
      </c>
      <c r="J209">
        <v>3</v>
      </c>
      <c r="K209" t="s">
        <v>50</v>
      </c>
      <c r="L209" t="s">
        <v>36</v>
      </c>
      <c r="M209">
        <v>2022</v>
      </c>
    </row>
    <row r="210" spans="1:13" x14ac:dyDescent="0.3">
      <c r="A210" t="s">
        <v>632</v>
      </c>
      <c r="B210" t="s">
        <v>633</v>
      </c>
      <c r="C210" t="s">
        <v>15</v>
      </c>
      <c r="D210">
        <v>38</v>
      </c>
      <c r="E210" t="s">
        <v>30</v>
      </c>
      <c r="F210" t="s">
        <v>634</v>
      </c>
      <c r="G210" t="s">
        <v>72</v>
      </c>
      <c r="H210">
        <v>15</v>
      </c>
      <c r="I210" s="1">
        <v>94000</v>
      </c>
      <c r="J210">
        <v>4</v>
      </c>
      <c r="K210" t="s">
        <v>19</v>
      </c>
      <c r="L210" t="s">
        <v>45</v>
      </c>
      <c r="M210">
        <v>2010</v>
      </c>
    </row>
    <row r="211" spans="1:13" x14ac:dyDescent="0.3">
      <c r="A211" t="s">
        <v>635</v>
      </c>
      <c r="B211" t="s">
        <v>636</v>
      </c>
      <c r="C211" t="s">
        <v>23</v>
      </c>
      <c r="D211">
        <v>33</v>
      </c>
      <c r="E211" t="s">
        <v>43</v>
      </c>
      <c r="F211" t="s">
        <v>637</v>
      </c>
      <c r="G211" t="s">
        <v>26</v>
      </c>
      <c r="H211">
        <v>10</v>
      </c>
      <c r="I211" s="1">
        <v>76000</v>
      </c>
      <c r="J211">
        <v>4</v>
      </c>
      <c r="K211" t="s">
        <v>19</v>
      </c>
      <c r="L211" t="s">
        <v>20</v>
      </c>
      <c r="M211">
        <v>2015</v>
      </c>
    </row>
    <row r="212" spans="1:13" x14ac:dyDescent="0.3">
      <c r="A212" t="s">
        <v>638</v>
      </c>
      <c r="B212" t="s">
        <v>639</v>
      </c>
      <c r="C212" t="s">
        <v>15</v>
      </c>
      <c r="D212">
        <v>45</v>
      </c>
      <c r="E212" t="s">
        <v>48</v>
      </c>
      <c r="F212" t="s">
        <v>640</v>
      </c>
      <c r="G212" t="s">
        <v>26</v>
      </c>
      <c r="H212">
        <v>21</v>
      </c>
      <c r="I212" s="1">
        <v>132000</v>
      </c>
      <c r="J212">
        <v>5</v>
      </c>
      <c r="K212" t="s">
        <v>19</v>
      </c>
      <c r="L212" t="s">
        <v>32</v>
      </c>
      <c r="M212">
        <v>2003</v>
      </c>
    </row>
    <row r="213" spans="1:13" x14ac:dyDescent="0.3">
      <c r="A213" t="s">
        <v>641</v>
      </c>
      <c r="B213" t="s">
        <v>538</v>
      </c>
      <c r="C213" t="s">
        <v>23</v>
      </c>
      <c r="D213">
        <v>29</v>
      </c>
      <c r="E213" t="s">
        <v>24</v>
      </c>
      <c r="F213" t="s">
        <v>642</v>
      </c>
      <c r="G213" t="s">
        <v>72</v>
      </c>
      <c r="H213">
        <v>6</v>
      </c>
      <c r="I213" s="1">
        <v>52000</v>
      </c>
      <c r="J213">
        <v>3</v>
      </c>
      <c r="K213" t="s">
        <v>50</v>
      </c>
      <c r="L213" t="s">
        <v>51</v>
      </c>
      <c r="M213">
        <v>2019</v>
      </c>
    </row>
    <row r="214" spans="1:13" x14ac:dyDescent="0.3">
      <c r="A214" t="s">
        <v>643</v>
      </c>
      <c r="B214" t="s">
        <v>644</v>
      </c>
      <c r="C214" t="s">
        <v>15</v>
      </c>
      <c r="D214">
        <v>24</v>
      </c>
      <c r="E214" t="s">
        <v>16</v>
      </c>
      <c r="F214" t="s">
        <v>645</v>
      </c>
      <c r="G214" t="s">
        <v>18</v>
      </c>
      <c r="H214">
        <v>1</v>
      </c>
      <c r="I214" s="1">
        <v>28000</v>
      </c>
      <c r="J214">
        <v>2</v>
      </c>
      <c r="K214" t="s">
        <v>50</v>
      </c>
      <c r="L214" t="s">
        <v>36</v>
      </c>
      <c r="M214">
        <v>2024</v>
      </c>
    </row>
    <row r="215" spans="1:13" x14ac:dyDescent="0.3">
      <c r="A215" t="s">
        <v>646</v>
      </c>
      <c r="B215" t="s">
        <v>647</v>
      </c>
      <c r="C215" t="s">
        <v>23</v>
      </c>
      <c r="D215">
        <v>40</v>
      </c>
      <c r="E215" t="s">
        <v>30</v>
      </c>
      <c r="F215" t="s">
        <v>648</v>
      </c>
      <c r="G215" t="s">
        <v>26</v>
      </c>
      <c r="H215">
        <v>17</v>
      </c>
      <c r="I215" s="1">
        <v>102000</v>
      </c>
      <c r="J215">
        <v>5</v>
      </c>
      <c r="K215" t="s">
        <v>19</v>
      </c>
      <c r="L215" t="s">
        <v>27</v>
      </c>
      <c r="M215">
        <v>2008</v>
      </c>
    </row>
    <row r="216" spans="1:13" x14ac:dyDescent="0.3">
      <c r="A216" t="s">
        <v>649</v>
      </c>
      <c r="B216" t="s">
        <v>650</v>
      </c>
      <c r="C216" t="s">
        <v>15</v>
      </c>
      <c r="D216">
        <v>35</v>
      </c>
      <c r="E216" t="s">
        <v>39</v>
      </c>
      <c r="F216" t="s">
        <v>651</v>
      </c>
      <c r="G216" t="s">
        <v>26</v>
      </c>
      <c r="H216">
        <v>12</v>
      </c>
      <c r="I216" s="1">
        <v>86000</v>
      </c>
      <c r="J216">
        <v>4</v>
      </c>
      <c r="K216" t="s">
        <v>19</v>
      </c>
      <c r="L216" t="s">
        <v>20</v>
      </c>
      <c r="M216">
        <v>2013</v>
      </c>
    </row>
    <row r="217" spans="1:13" x14ac:dyDescent="0.3">
      <c r="A217" t="s">
        <v>652</v>
      </c>
      <c r="B217" t="s">
        <v>653</v>
      </c>
      <c r="C217" t="s">
        <v>23</v>
      </c>
      <c r="D217">
        <v>27</v>
      </c>
      <c r="E217" t="s">
        <v>48</v>
      </c>
      <c r="F217" t="s">
        <v>654</v>
      </c>
      <c r="G217" t="s">
        <v>72</v>
      </c>
      <c r="H217">
        <v>4</v>
      </c>
      <c r="I217" s="1">
        <v>58000</v>
      </c>
      <c r="J217">
        <v>3</v>
      </c>
      <c r="K217" t="s">
        <v>50</v>
      </c>
      <c r="L217" t="s">
        <v>45</v>
      </c>
      <c r="M217">
        <v>2021</v>
      </c>
    </row>
    <row r="218" spans="1:13" x14ac:dyDescent="0.3">
      <c r="A218" t="s">
        <v>655</v>
      </c>
      <c r="B218" t="s">
        <v>211</v>
      </c>
      <c r="C218" t="s">
        <v>15</v>
      </c>
      <c r="D218">
        <v>41</v>
      </c>
      <c r="E218" t="s">
        <v>16</v>
      </c>
      <c r="F218" t="s">
        <v>656</v>
      </c>
      <c r="G218" t="s">
        <v>26</v>
      </c>
      <c r="H218">
        <v>18</v>
      </c>
      <c r="I218" s="1">
        <v>115000</v>
      </c>
      <c r="J218">
        <v>5</v>
      </c>
      <c r="K218" t="s">
        <v>19</v>
      </c>
      <c r="L218" t="s">
        <v>32</v>
      </c>
      <c r="M218">
        <v>2006</v>
      </c>
    </row>
    <row r="219" spans="1:13" x14ac:dyDescent="0.3">
      <c r="A219" t="s">
        <v>657</v>
      </c>
      <c r="B219" t="s">
        <v>658</v>
      </c>
      <c r="C219" t="s">
        <v>23</v>
      </c>
      <c r="D219">
        <v>34</v>
      </c>
      <c r="E219" t="s">
        <v>24</v>
      </c>
      <c r="F219" t="s">
        <v>659</v>
      </c>
      <c r="G219" t="s">
        <v>72</v>
      </c>
      <c r="H219">
        <v>11</v>
      </c>
      <c r="I219" s="1">
        <v>72000</v>
      </c>
      <c r="J219">
        <v>4</v>
      </c>
      <c r="K219" t="s">
        <v>19</v>
      </c>
      <c r="L219" t="s">
        <v>51</v>
      </c>
      <c r="M219">
        <v>2014</v>
      </c>
    </row>
    <row r="220" spans="1:13" x14ac:dyDescent="0.3">
      <c r="A220" t="s">
        <v>660</v>
      </c>
      <c r="B220" t="s">
        <v>661</v>
      </c>
      <c r="C220" t="s">
        <v>15</v>
      </c>
      <c r="D220">
        <v>30</v>
      </c>
      <c r="E220" t="s">
        <v>43</v>
      </c>
      <c r="F220" t="s">
        <v>662</v>
      </c>
      <c r="G220" t="s">
        <v>72</v>
      </c>
      <c r="H220">
        <v>7</v>
      </c>
      <c r="I220" s="1">
        <v>64000</v>
      </c>
      <c r="J220">
        <v>4</v>
      </c>
      <c r="K220" t="s">
        <v>19</v>
      </c>
      <c r="L220" t="s">
        <v>20</v>
      </c>
      <c r="M220">
        <v>2018</v>
      </c>
    </row>
    <row r="221" spans="1:13" x14ac:dyDescent="0.3">
      <c r="A221" t="s">
        <v>663</v>
      </c>
      <c r="B221" t="s">
        <v>384</v>
      </c>
      <c r="C221" t="s">
        <v>23</v>
      </c>
      <c r="D221">
        <v>48</v>
      </c>
      <c r="E221" t="s">
        <v>30</v>
      </c>
      <c r="F221" t="s">
        <v>664</v>
      </c>
      <c r="G221" t="s">
        <v>26</v>
      </c>
      <c r="H221">
        <v>24</v>
      </c>
      <c r="I221" s="1">
        <v>185000</v>
      </c>
      <c r="J221">
        <v>5</v>
      </c>
      <c r="K221" t="s">
        <v>19</v>
      </c>
      <c r="L221" t="s">
        <v>45</v>
      </c>
      <c r="M221">
        <v>2001</v>
      </c>
    </row>
    <row r="222" spans="1:13" x14ac:dyDescent="0.3">
      <c r="A222" t="s">
        <v>665</v>
      </c>
      <c r="B222" t="s">
        <v>244</v>
      </c>
      <c r="C222" t="s">
        <v>15</v>
      </c>
      <c r="D222">
        <v>26</v>
      </c>
      <c r="E222" t="s">
        <v>16</v>
      </c>
      <c r="F222" t="s">
        <v>666</v>
      </c>
      <c r="G222" t="s">
        <v>18</v>
      </c>
      <c r="H222">
        <v>3</v>
      </c>
      <c r="I222" s="1">
        <v>42000</v>
      </c>
      <c r="J222">
        <v>3</v>
      </c>
      <c r="K222" t="s">
        <v>50</v>
      </c>
      <c r="L222" t="s">
        <v>36</v>
      </c>
      <c r="M222">
        <v>2022</v>
      </c>
    </row>
    <row r="223" spans="1:13" x14ac:dyDescent="0.3">
      <c r="A223" t="s">
        <v>667</v>
      </c>
      <c r="B223" t="s">
        <v>414</v>
      </c>
      <c r="C223" t="s">
        <v>23</v>
      </c>
      <c r="D223">
        <v>37</v>
      </c>
      <c r="E223" t="s">
        <v>39</v>
      </c>
      <c r="F223" t="s">
        <v>668</v>
      </c>
      <c r="G223" t="s">
        <v>26</v>
      </c>
      <c r="H223">
        <v>14</v>
      </c>
      <c r="I223" s="1">
        <v>90000</v>
      </c>
      <c r="J223">
        <v>4</v>
      </c>
      <c r="K223" t="s">
        <v>19</v>
      </c>
      <c r="L223" t="s">
        <v>27</v>
      </c>
      <c r="M223">
        <v>2011</v>
      </c>
    </row>
    <row r="224" spans="1:13" x14ac:dyDescent="0.3">
      <c r="A224" t="s">
        <v>669</v>
      </c>
      <c r="B224" t="s">
        <v>670</v>
      </c>
      <c r="C224" t="s">
        <v>15</v>
      </c>
      <c r="D224">
        <v>32</v>
      </c>
      <c r="E224" t="s">
        <v>48</v>
      </c>
      <c r="F224" t="s">
        <v>671</v>
      </c>
      <c r="G224" t="s">
        <v>26</v>
      </c>
      <c r="H224">
        <v>9</v>
      </c>
      <c r="I224" s="1">
        <v>76000</v>
      </c>
      <c r="J224">
        <v>4</v>
      </c>
      <c r="K224" t="s">
        <v>19</v>
      </c>
      <c r="L224" t="s">
        <v>20</v>
      </c>
      <c r="M224">
        <v>2016</v>
      </c>
    </row>
    <row r="225" spans="1:13" x14ac:dyDescent="0.3">
      <c r="A225" t="s">
        <v>672</v>
      </c>
      <c r="B225" t="s">
        <v>673</v>
      </c>
      <c r="C225" t="s">
        <v>23</v>
      </c>
      <c r="D225">
        <v>44</v>
      </c>
      <c r="E225" t="s">
        <v>24</v>
      </c>
      <c r="F225" t="s">
        <v>674</v>
      </c>
      <c r="G225" t="s">
        <v>26</v>
      </c>
      <c r="H225">
        <v>20</v>
      </c>
      <c r="I225" s="1">
        <v>120000</v>
      </c>
      <c r="J225">
        <v>5</v>
      </c>
      <c r="K225" t="s">
        <v>19</v>
      </c>
      <c r="L225" t="s">
        <v>32</v>
      </c>
      <c r="M225">
        <v>2005</v>
      </c>
    </row>
    <row r="226" spans="1:13" x14ac:dyDescent="0.3">
      <c r="A226" t="s">
        <v>675</v>
      </c>
      <c r="B226" t="s">
        <v>353</v>
      </c>
      <c r="C226" t="s">
        <v>15</v>
      </c>
      <c r="D226">
        <v>29</v>
      </c>
      <c r="E226" t="s">
        <v>30</v>
      </c>
      <c r="F226" t="s">
        <v>676</v>
      </c>
      <c r="G226" t="s">
        <v>18</v>
      </c>
      <c r="H226">
        <v>6</v>
      </c>
      <c r="I226" s="1">
        <v>58000</v>
      </c>
      <c r="J226">
        <v>3</v>
      </c>
      <c r="K226" t="s">
        <v>50</v>
      </c>
      <c r="L226" t="s">
        <v>51</v>
      </c>
      <c r="M226">
        <v>2019</v>
      </c>
    </row>
    <row r="227" spans="1:13" x14ac:dyDescent="0.3">
      <c r="A227" t="s">
        <v>677</v>
      </c>
      <c r="B227" t="s">
        <v>678</v>
      </c>
      <c r="C227" t="s">
        <v>23</v>
      </c>
      <c r="D227">
        <v>25</v>
      </c>
      <c r="E227" t="s">
        <v>43</v>
      </c>
      <c r="F227" t="s">
        <v>679</v>
      </c>
      <c r="G227" t="s">
        <v>18</v>
      </c>
      <c r="H227">
        <v>2</v>
      </c>
      <c r="I227" s="1">
        <v>34000</v>
      </c>
      <c r="J227">
        <v>3</v>
      </c>
      <c r="K227" t="s">
        <v>50</v>
      </c>
      <c r="L227" t="s">
        <v>45</v>
      </c>
      <c r="M227">
        <v>2023</v>
      </c>
    </row>
    <row r="228" spans="1:13" x14ac:dyDescent="0.3">
      <c r="A228" t="s">
        <v>680</v>
      </c>
      <c r="B228" t="s">
        <v>681</v>
      </c>
      <c r="C228" t="s">
        <v>15</v>
      </c>
      <c r="D228">
        <v>39</v>
      </c>
      <c r="E228" t="s">
        <v>16</v>
      </c>
      <c r="F228" t="s">
        <v>682</v>
      </c>
      <c r="G228" t="s">
        <v>26</v>
      </c>
      <c r="H228">
        <v>16</v>
      </c>
      <c r="I228" s="1">
        <v>98000</v>
      </c>
      <c r="J228">
        <v>4</v>
      </c>
      <c r="K228" t="s">
        <v>19</v>
      </c>
      <c r="L228" t="s">
        <v>20</v>
      </c>
      <c r="M228">
        <v>2009</v>
      </c>
    </row>
    <row r="229" spans="1:13" x14ac:dyDescent="0.3">
      <c r="A229" t="s">
        <v>683</v>
      </c>
      <c r="B229" t="s">
        <v>684</v>
      </c>
      <c r="C229" t="s">
        <v>23</v>
      </c>
      <c r="D229">
        <v>35</v>
      </c>
      <c r="E229" t="s">
        <v>48</v>
      </c>
      <c r="F229" t="s">
        <v>685</v>
      </c>
      <c r="G229" t="s">
        <v>26</v>
      </c>
      <c r="H229">
        <v>12</v>
      </c>
      <c r="I229" s="1">
        <v>84000</v>
      </c>
      <c r="J229">
        <v>4</v>
      </c>
      <c r="K229" t="s">
        <v>19</v>
      </c>
      <c r="L229" t="s">
        <v>36</v>
      </c>
      <c r="M229">
        <v>2013</v>
      </c>
    </row>
    <row r="230" spans="1:13" x14ac:dyDescent="0.3">
      <c r="A230" t="s">
        <v>686</v>
      </c>
      <c r="B230" t="s">
        <v>74</v>
      </c>
      <c r="C230" t="s">
        <v>15</v>
      </c>
      <c r="D230">
        <v>46</v>
      </c>
      <c r="E230" t="s">
        <v>39</v>
      </c>
      <c r="F230" t="s">
        <v>687</v>
      </c>
      <c r="G230" t="s">
        <v>26</v>
      </c>
      <c r="H230">
        <v>22</v>
      </c>
      <c r="I230" s="1">
        <v>138000</v>
      </c>
      <c r="J230">
        <v>5</v>
      </c>
      <c r="K230" t="s">
        <v>19</v>
      </c>
      <c r="L230" t="s">
        <v>27</v>
      </c>
      <c r="M230">
        <v>2003</v>
      </c>
    </row>
    <row r="231" spans="1:13" x14ac:dyDescent="0.3">
      <c r="A231" t="s">
        <v>688</v>
      </c>
      <c r="B231" t="s">
        <v>154</v>
      </c>
      <c r="C231" t="s">
        <v>23</v>
      </c>
      <c r="D231">
        <v>31</v>
      </c>
      <c r="E231" t="s">
        <v>24</v>
      </c>
      <c r="F231" t="s">
        <v>689</v>
      </c>
      <c r="G231" t="s">
        <v>72</v>
      </c>
      <c r="H231">
        <v>8</v>
      </c>
      <c r="I231" s="1">
        <v>70000</v>
      </c>
      <c r="J231">
        <v>4</v>
      </c>
      <c r="K231" t="s">
        <v>19</v>
      </c>
      <c r="L231" t="s">
        <v>32</v>
      </c>
      <c r="M231">
        <v>2017</v>
      </c>
    </row>
    <row r="232" spans="1:13" x14ac:dyDescent="0.3">
      <c r="A232" t="s">
        <v>690</v>
      </c>
      <c r="B232" t="s">
        <v>133</v>
      </c>
      <c r="C232" t="s">
        <v>15</v>
      </c>
      <c r="D232">
        <v>28</v>
      </c>
      <c r="E232" t="s">
        <v>16</v>
      </c>
      <c r="F232" t="s">
        <v>691</v>
      </c>
      <c r="G232" t="s">
        <v>18</v>
      </c>
      <c r="H232">
        <v>5</v>
      </c>
      <c r="I232" s="1">
        <v>50000</v>
      </c>
      <c r="J232">
        <v>3</v>
      </c>
      <c r="K232" t="s">
        <v>50</v>
      </c>
      <c r="L232" t="s">
        <v>51</v>
      </c>
      <c r="M232">
        <v>2020</v>
      </c>
    </row>
    <row r="233" spans="1:13" x14ac:dyDescent="0.3">
      <c r="A233" t="s">
        <v>692</v>
      </c>
      <c r="B233" t="s">
        <v>693</v>
      </c>
      <c r="C233" t="s">
        <v>23</v>
      </c>
      <c r="D233">
        <v>41</v>
      </c>
      <c r="E233" t="s">
        <v>30</v>
      </c>
      <c r="F233" t="s">
        <v>694</v>
      </c>
      <c r="G233" t="s">
        <v>26</v>
      </c>
      <c r="H233">
        <v>18</v>
      </c>
      <c r="I233" s="1">
        <v>108000</v>
      </c>
      <c r="J233">
        <v>5</v>
      </c>
      <c r="K233" t="s">
        <v>19</v>
      </c>
      <c r="L233" t="s">
        <v>45</v>
      </c>
      <c r="M233">
        <v>2007</v>
      </c>
    </row>
    <row r="234" spans="1:13" x14ac:dyDescent="0.3">
      <c r="A234" t="s">
        <v>695</v>
      </c>
      <c r="B234" t="s">
        <v>696</v>
      </c>
      <c r="C234" t="s">
        <v>15</v>
      </c>
      <c r="D234">
        <v>34</v>
      </c>
      <c r="E234" t="s">
        <v>43</v>
      </c>
      <c r="F234" t="s">
        <v>697</v>
      </c>
      <c r="G234" t="s">
        <v>72</v>
      </c>
      <c r="H234">
        <v>11</v>
      </c>
      <c r="I234" s="1">
        <v>72000</v>
      </c>
      <c r="J234">
        <v>4</v>
      </c>
      <c r="K234" t="s">
        <v>19</v>
      </c>
      <c r="L234" t="s">
        <v>20</v>
      </c>
      <c r="M234">
        <v>2014</v>
      </c>
    </row>
    <row r="235" spans="1:13" x14ac:dyDescent="0.3">
      <c r="A235" t="s">
        <v>698</v>
      </c>
      <c r="B235" t="s">
        <v>60</v>
      </c>
      <c r="C235" t="s">
        <v>23</v>
      </c>
      <c r="D235">
        <v>27</v>
      </c>
      <c r="E235" t="s">
        <v>48</v>
      </c>
      <c r="F235" t="s">
        <v>699</v>
      </c>
      <c r="G235" t="s">
        <v>18</v>
      </c>
      <c r="H235">
        <v>4</v>
      </c>
      <c r="I235" s="1">
        <v>48000</v>
      </c>
      <c r="J235">
        <v>3</v>
      </c>
      <c r="K235" t="s">
        <v>50</v>
      </c>
      <c r="L235" t="s">
        <v>36</v>
      </c>
      <c r="M235">
        <v>2021</v>
      </c>
    </row>
    <row r="236" spans="1:13" x14ac:dyDescent="0.3">
      <c r="A236" t="s">
        <v>700</v>
      </c>
      <c r="B236" t="s">
        <v>701</v>
      </c>
      <c r="C236" t="s">
        <v>15</v>
      </c>
      <c r="D236">
        <v>50</v>
      </c>
      <c r="E236" t="s">
        <v>39</v>
      </c>
      <c r="F236" t="s">
        <v>702</v>
      </c>
      <c r="G236" t="s">
        <v>26</v>
      </c>
      <c r="H236">
        <v>26</v>
      </c>
      <c r="I236" s="1">
        <v>172000</v>
      </c>
      <c r="J236">
        <v>5</v>
      </c>
      <c r="K236" t="s">
        <v>19</v>
      </c>
      <c r="L236" t="s">
        <v>32</v>
      </c>
      <c r="M236">
        <v>1998</v>
      </c>
    </row>
    <row r="237" spans="1:13" x14ac:dyDescent="0.3">
      <c r="A237" t="s">
        <v>703</v>
      </c>
      <c r="B237" t="s">
        <v>101</v>
      </c>
      <c r="C237" t="s">
        <v>23</v>
      </c>
      <c r="D237">
        <v>36</v>
      </c>
      <c r="E237" t="s">
        <v>24</v>
      </c>
      <c r="F237" t="s">
        <v>704</v>
      </c>
      <c r="G237" t="s">
        <v>26</v>
      </c>
      <c r="H237">
        <v>13</v>
      </c>
      <c r="I237" s="1">
        <v>88000</v>
      </c>
      <c r="J237">
        <v>4</v>
      </c>
      <c r="K237" t="s">
        <v>19</v>
      </c>
      <c r="L237" t="s">
        <v>27</v>
      </c>
      <c r="M237">
        <v>2012</v>
      </c>
    </row>
    <row r="238" spans="1:13" x14ac:dyDescent="0.3">
      <c r="A238" t="s">
        <v>705</v>
      </c>
      <c r="B238" t="s">
        <v>433</v>
      </c>
      <c r="C238" t="s">
        <v>15</v>
      </c>
      <c r="D238">
        <v>31</v>
      </c>
      <c r="E238" t="s">
        <v>16</v>
      </c>
      <c r="F238" t="s">
        <v>706</v>
      </c>
      <c r="G238" t="s">
        <v>18</v>
      </c>
      <c r="H238">
        <v>8</v>
      </c>
      <c r="I238" s="1">
        <v>62000</v>
      </c>
      <c r="J238">
        <v>4</v>
      </c>
      <c r="K238" t="s">
        <v>19</v>
      </c>
      <c r="L238" t="s">
        <v>20</v>
      </c>
      <c r="M238">
        <v>2017</v>
      </c>
    </row>
    <row r="239" spans="1:13" x14ac:dyDescent="0.3">
      <c r="A239" t="s">
        <v>707</v>
      </c>
      <c r="B239" t="s">
        <v>708</v>
      </c>
      <c r="C239" t="s">
        <v>23</v>
      </c>
      <c r="D239">
        <v>43</v>
      </c>
      <c r="E239" t="s">
        <v>30</v>
      </c>
      <c r="F239" t="s">
        <v>709</v>
      </c>
      <c r="G239" t="s">
        <v>26</v>
      </c>
      <c r="H239">
        <v>19</v>
      </c>
      <c r="I239" s="1">
        <v>118000</v>
      </c>
      <c r="J239">
        <v>5</v>
      </c>
      <c r="K239" t="s">
        <v>19</v>
      </c>
      <c r="L239" t="s">
        <v>51</v>
      </c>
      <c r="M239">
        <v>2006</v>
      </c>
    </row>
    <row r="240" spans="1:13" x14ac:dyDescent="0.3">
      <c r="A240" t="s">
        <v>710</v>
      </c>
      <c r="B240" t="s">
        <v>181</v>
      </c>
      <c r="C240" t="s">
        <v>15</v>
      </c>
      <c r="D240">
        <v>25</v>
      </c>
      <c r="E240" t="s">
        <v>43</v>
      </c>
      <c r="F240" t="s">
        <v>711</v>
      </c>
      <c r="G240" t="s">
        <v>18</v>
      </c>
      <c r="H240">
        <v>2</v>
      </c>
      <c r="I240" s="1">
        <v>32000</v>
      </c>
      <c r="J240">
        <v>2</v>
      </c>
      <c r="K240" t="s">
        <v>50</v>
      </c>
      <c r="L240" t="s">
        <v>45</v>
      </c>
      <c r="M240">
        <v>2023</v>
      </c>
    </row>
    <row r="241" spans="1:13" x14ac:dyDescent="0.3">
      <c r="A241" t="s">
        <v>712</v>
      </c>
      <c r="B241" t="s">
        <v>214</v>
      </c>
      <c r="C241" t="s">
        <v>23</v>
      </c>
      <c r="D241">
        <v>38</v>
      </c>
      <c r="E241" t="s">
        <v>48</v>
      </c>
      <c r="F241" t="s">
        <v>713</v>
      </c>
      <c r="G241" t="s">
        <v>26</v>
      </c>
      <c r="H241">
        <v>15</v>
      </c>
      <c r="I241" s="1">
        <v>94000</v>
      </c>
      <c r="J241">
        <v>4</v>
      </c>
      <c r="K241" t="s">
        <v>19</v>
      </c>
      <c r="L241" t="s">
        <v>32</v>
      </c>
      <c r="M241">
        <v>2010</v>
      </c>
    </row>
    <row r="242" spans="1:13" x14ac:dyDescent="0.3">
      <c r="A242" t="s">
        <v>714</v>
      </c>
      <c r="B242" t="s">
        <v>715</v>
      </c>
      <c r="C242" t="s">
        <v>15</v>
      </c>
      <c r="D242">
        <v>45</v>
      </c>
      <c r="E242" t="s">
        <v>16</v>
      </c>
      <c r="F242" t="s">
        <v>716</v>
      </c>
      <c r="G242" t="s">
        <v>26</v>
      </c>
      <c r="H242">
        <v>21</v>
      </c>
      <c r="I242" s="1">
        <v>148000</v>
      </c>
      <c r="J242">
        <v>5</v>
      </c>
      <c r="K242" t="s">
        <v>19</v>
      </c>
      <c r="L242" t="s">
        <v>27</v>
      </c>
      <c r="M242">
        <v>2004</v>
      </c>
    </row>
    <row r="243" spans="1:13" x14ac:dyDescent="0.3">
      <c r="A243" t="s">
        <v>717</v>
      </c>
      <c r="B243" t="s">
        <v>113</v>
      </c>
      <c r="C243" t="s">
        <v>23</v>
      </c>
      <c r="D243">
        <v>29</v>
      </c>
      <c r="E243" t="s">
        <v>24</v>
      </c>
      <c r="F243" t="s">
        <v>718</v>
      </c>
      <c r="G243" t="s">
        <v>72</v>
      </c>
      <c r="H243">
        <v>6</v>
      </c>
      <c r="I243" s="1">
        <v>60000</v>
      </c>
      <c r="J243">
        <v>4</v>
      </c>
      <c r="K243" t="s">
        <v>19</v>
      </c>
      <c r="L243" t="s">
        <v>20</v>
      </c>
      <c r="M243">
        <v>2019</v>
      </c>
    </row>
    <row r="244" spans="1:13" x14ac:dyDescent="0.3">
      <c r="A244" t="s">
        <v>719</v>
      </c>
      <c r="B244" t="s">
        <v>720</v>
      </c>
      <c r="C244" t="s">
        <v>15</v>
      </c>
      <c r="D244">
        <v>33</v>
      </c>
      <c r="E244" t="s">
        <v>30</v>
      </c>
      <c r="F244" t="s">
        <v>721</v>
      </c>
      <c r="G244" t="s">
        <v>72</v>
      </c>
      <c r="H244">
        <v>10</v>
      </c>
      <c r="I244" s="1">
        <v>82000</v>
      </c>
      <c r="J244">
        <v>4</v>
      </c>
      <c r="K244" t="s">
        <v>19</v>
      </c>
      <c r="L244" t="s">
        <v>36</v>
      </c>
      <c r="M244">
        <v>2015</v>
      </c>
    </row>
    <row r="245" spans="1:13" x14ac:dyDescent="0.3">
      <c r="A245" t="s">
        <v>722</v>
      </c>
      <c r="B245" t="s">
        <v>723</v>
      </c>
      <c r="C245" t="s">
        <v>23</v>
      </c>
      <c r="D245">
        <v>26</v>
      </c>
      <c r="E245" t="s">
        <v>43</v>
      </c>
      <c r="F245" t="s">
        <v>724</v>
      </c>
      <c r="G245" t="s">
        <v>18</v>
      </c>
      <c r="H245">
        <v>3</v>
      </c>
      <c r="I245" s="1">
        <v>45000</v>
      </c>
      <c r="J245">
        <v>3</v>
      </c>
      <c r="K245" t="s">
        <v>50</v>
      </c>
      <c r="L245" t="s">
        <v>51</v>
      </c>
      <c r="M245">
        <v>2022</v>
      </c>
    </row>
    <row r="246" spans="1:13" x14ac:dyDescent="0.3">
      <c r="A246" t="s">
        <v>725</v>
      </c>
      <c r="B246" t="s">
        <v>110</v>
      </c>
      <c r="C246" t="s">
        <v>15</v>
      </c>
      <c r="D246">
        <v>41</v>
      </c>
      <c r="E246" t="s">
        <v>39</v>
      </c>
      <c r="F246" t="s">
        <v>726</v>
      </c>
      <c r="G246" t="s">
        <v>26</v>
      </c>
      <c r="H246">
        <v>18</v>
      </c>
      <c r="I246" s="1">
        <v>112000</v>
      </c>
      <c r="J246">
        <v>5</v>
      </c>
      <c r="K246" t="s">
        <v>19</v>
      </c>
      <c r="L246" t="s">
        <v>45</v>
      </c>
      <c r="M246">
        <v>2007</v>
      </c>
    </row>
    <row r="247" spans="1:13" x14ac:dyDescent="0.3">
      <c r="A247" t="s">
        <v>727</v>
      </c>
      <c r="B247" t="s">
        <v>65</v>
      </c>
      <c r="C247" t="s">
        <v>23</v>
      </c>
      <c r="D247">
        <v>34</v>
      </c>
      <c r="E247" t="s">
        <v>48</v>
      </c>
      <c r="F247" t="s">
        <v>728</v>
      </c>
      <c r="G247" t="s">
        <v>72</v>
      </c>
      <c r="H247">
        <v>11</v>
      </c>
      <c r="I247" s="1">
        <v>82000</v>
      </c>
      <c r="J247">
        <v>4</v>
      </c>
      <c r="K247" t="s">
        <v>19</v>
      </c>
      <c r="L247" t="s">
        <v>20</v>
      </c>
      <c r="M247">
        <v>2014</v>
      </c>
    </row>
    <row r="248" spans="1:13" x14ac:dyDescent="0.3">
      <c r="A248" t="s">
        <v>729</v>
      </c>
      <c r="B248" t="s">
        <v>277</v>
      </c>
      <c r="C248" t="s">
        <v>15</v>
      </c>
      <c r="D248">
        <v>28</v>
      </c>
      <c r="E248" t="s">
        <v>16</v>
      </c>
      <c r="F248" t="s">
        <v>730</v>
      </c>
      <c r="G248" t="s">
        <v>72</v>
      </c>
      <c r="H248">
        <v>5</v>
      </c>
      <c r="I248" s="1">
        <v>66000</v>
      </c>
      <c r="J248">
        <v>4</v>
      </c>
      <c r="K248" t="s">
        <v>19</v>
      </c>
      <c r="L248" t="s">
        <v>36</v>
      </c>
      <c r="M248">
        <v>2020</v>
      </c>
    </row>
    <row r="249" spans="1:13" x14ac:dyDescent="0.3">
      <c r="A249" t="s">
        <v>731</v>
      </c>
      <c r="B249" t="s">
        <v>552</v>
      </c>
      <c r="C249" t="s">
        <v>23</v>
      </c>
      <c r="D249">
        <v>47</v>
      </c>
      <c r="E249" t="s">
        <v>30</v>
      </c>
      <c r="F249" t="s">
        <v>732</v>
      </c>
      <c r="G249" t="s">
        <v>26</v>
      </c>
      <c r="H249">
        <v>23</v>
      </c>
      <c r="I249" s="1">
        <v>142000</v>
      </c>
      <c r="J249">
        <v>5</v>
      </c>
      <c r="K249" t="s">
        <v>19</v>
      </c>
      <c r="L249" t="s">
        <v>32</v>
      </c>
      <c r="M249">
        <v>2002</v>
      </c>
    </row>
    <row r="250" spans="1:13" x14ac:dyDescent="0.3">
      <c r="A250" t="s">
        <v>733</v>
      </c>
      <c r="B250" t="s">
        <v>445</v>
      </c>
      <c r="C250" t="s">
        <v>15</v>
      </c>
      <c r="D250">
        <v>36</v>
      </c>
      <c r="E250" t="s">
        <v>43</v>
      </c>
      <c r="F250" t="s">
        <v>734</v>
      </c>
      <c r="G250" t="s">
        <v>26</v>
      </c>
      <c r="H250">
        <v>13</v>
      </c>
      <c r="I250" s="1">
        <v>88000</v>
      </c>
      <c r="J250">
        <v>4</v>
      </c>
      <c r="K250" t="s">
        <v>19</v>
      </c>
      <c r="L250" t="s">
        <v>27</v>
      </c>
      <c r="M250">
        <v>2012</v>
      </c>
    </row>
    <row r="251" spans="1:13" x14ac:dyDescent="0.3">
      <c r="A251" t="s">
        <v>735</v>
      </c>
      <c r="B251" t="s">
        <v>425</v>
      </c>
      <c r="C251" t="s">
        <v>23</v>
      </c>
      <c r="D251">
        <v>32</v>
      </c>
      <c r="E251" t="s">
        <v>24</v>
      </c>
      <c r="F251" t="s">
        <v>736</v>
      </c>
      <c r="G251" t="s">
        <v>26</v>
      </c>
      <c r="H251">
        <v>9</v>
      </c>
      <c r="I251" s="1">
        <v>76000</v>
      </c>
      <c r="J251">
        <v>4</v>
      </c>
      <c r="K251" t="s">
        <v>19</v>
      </c>
      <c r="L251" t="s">
        <v>45</v>
      </c>
      <c r="M251">
        <v>2016</v>
      </c>
    </row>
    <row r="252" spans="1:13" x14ac:dyDescent="0.3">
      <c r="A252" t="s">
        <v>737</v>
      </c>
      <c r="B252" t="s">
        <v>187</v>
      </c>
      <c r="C252" t="s">
        <v>15</v>
      </c>
      <c r="D252">
        <v>52</v>
      </c>
      <c r="E252" t="s">
        <v>39</v>
      </c>
      <c r="F252" t="s">
        <v>738</v>
      </c>
      <c r="G252" t="s">
        <v>26</v>
      </c>
      <c r="H252">
        <v>28</v>
      </c>
      <c r="I252" s="1">
        <v>195000</v>
      </c>
      <c r="J252">
        <v>5</v>
      </c>
      <c r="K252" t="s">
        <v>19</v>
      </c>
      <c r="L252" t="s">
        <v>20</v>
      </c>
      <c r="M252">
        <v>1996</v>
      </c>
    </row>
    <row r="253" spans="1:13" x14ac:dyDescent="0.3">
      <c r="A253" t="s">
        <v>739</v>
      </c>
      <c r="B253" t="s">
        <v>361</v>
      </c>
      <c r="C253" t="s">
        <v>23</v>
      </c>
      <c r="D253">
        <v>24</v>
      </c>
      <c r="E253" t="s">
        <v>48</v>
      </c>
      <c r="F253" t="s">
        <v>740</v>
      </c>
      <c r="G253" t="s">
        <v>18</v>
      </c>
      <c r="H253">
        <v>1</v>
      </c>
      <c r="I253" s="1">
        <v>26000</v>
      </c>
      <c r="J253">
        <v>2</v>
      </c>
      <c r="K253" t="s">
        <v>50</v>
      </c>
      <c r="L253" t="s">
        <v>36</v>
      </c>
      <c r="M253">
        <v>2024</v>
      </c>
    </row>
    <row r="254" spans="1:13" x14ac:dyDescent="0.3">
      <c r="A254" t="s">
        <v>741</v>
      </c>
      <c r="B254" t="s">
        <v>104</v>
      </c>
      <c r="C254" t="s">
        <v>15</v>
      </c>
      <c r="D254">
        <v>39</v>
      </c>
      <c r="E254" t="s">
        <v>16</v>
      </c>
      <c r="F254" t="s">
        <v>742</v>
      </c>
      <c r="G254" t="s">
        <v>26</v>
      </c>
      <c r="H254">
        <v>16</v>
      </c>
      <c r="I254" s="1">
        <v>98000</v>
      </c>
      <c r="J254">
        <v>4</v>
      </c>
      <c r="K254" t="s">
        <v>19</v>
      </c>
      <c r="L254" t="s">
        <v>32</v>
      </c>
      <c r="M254">
        <v>2009</v>
      </c>
    </row>
    <row r="255" spans="1:13" x14ac:dyDescent="0.3">
      <c r="A255" t="s">
        <v>743</v>
      </c>
      <c r="B255" t="s">
        <v>744</v>
      </c>
      <c r="C255" t="s">
        <v>23</v>
      </c>
      <c r="D255">
        <v>35</v>
      </c>
      <c r="E255" t="s">
        <v>30</v>
      </c>
      <c r="F255" t="s">
        <v>745</v>
      </c>
      <c r="G255" t="s">
        <v>26</v>
      </c>
      <c r="H255">
        <v>12</v>
      </c>
      <c r="I255" s="1">
        <v>90000</v>
      </c>
      <c r="J255">
        <v>4</v>
      </c>
      <c r="K255" t="s">
        <v>19</v>
      </c>
      <c r="L255" t="s">
        <v>51</v>
      </c>
      <c r="M255">
        <v>2013</v>
      </c>
    </row>
    <row r="256" spans="1:13" x14ac:dyDescent="0.3">
      <c r="A256" t="s">
        <v>746</v>
      </c>
      <c r="B256" t="s">
        <v>63</v>
      </c>
      <c r="C256" t="s">
        <v>15</v>
      </c>
      <c r="D256">
        <v>30</v>
      </c>
      <c r="E256" t="s">
        <v>43</v>
      </c>
      <c r="F256" t="s">
        <v>747</v>
      </c>
      <c r="G256" t="s">
        <v>72</v>
      </c>
      <c r="H256">
        <v>7</v>
      </c>
      <c r="I256" s="1">
        <v>64000</v>
      </c>
      <c r="J256">
        <v>4</v>
      </c>
      <c r="K256" t="s">
        <v>19</v>
      </c>
      <c r="L256" t="s">
        <v>20</v>
      </c>
      <c r="M256">
        <v>2018</v>
      </c>
    </row>
    <row r="257" spans="1:13" x14ac:dyDescent="0.3">
      <c r="A257" t="s">
        <v>748</v>
      </c>
      <c r="B257" t="s">
        <v>749</v>
      </c>
      <c r="C257" t="s">
        <v>23</v>
      </c>
      <c r="D257">
        <v>44</v>
      </c>
      <c r="E257" t="s">
        <v>24</v>
      </c>
      <c r="F257" t="s">
        <v>750</v>
      </c>
      <c r="G257" t="s">
        <v>26</v>
      </c>
      <c r="H257">
        <v>20</v>
      </c>
      <c r="I257" s="1">
        <v>110000</v>
      </c>
      <c r="J257">
        <v>5</v>
      </c>
      <c r="K257" t="s">
        <v>19</v>
      </c>
      <c r="L257" t="s">
        <v>27</v>
      </c>
      <c r="M257">
        <v>2005</v>
      </c>
    </row>
    <row r="258" spans="1:13" x14ac:dyDescent="0.3">
      <c r="A258" t="s">
        <v>751</v>
      </c>
      <c r="B258" t="s">
        <v>752</v>
      </c>
      <c r="C258" t="s">
        <v>15</v>
      </c>
      <c r="D258">
        <v>27</v>
      </c>
      <c r="E258" t="s">
        <v>16</v>
      </c>
      <c r="F258" t="s">
        <v>753</v>
      </c>
      <c r="G258" t="s">
        <v>18</v>
      </c>
      <c r="H258">
        <v>4</v>
      </c>
      <c r="I258" s="1">
        <v>48000</v>
      </c>
      <c r="J258">
        <v>3</v>
      </c>
      <c r="K258" t="s">
        <v>50</v>
      </c>
      <c r="L258" t="s">
        <v>36</v>
      </c>
      <c r="M258">
        <v>2021</v>
      </c>
    </row>
    <row r="259" spans="1:13" x14ac:dyDescent="0.3">
      <c r="A259" t="s">
        <v>754</v>
      </c>
      <c r="B259" t="s">
        <v>755</v>
      </c>
      <c r="C259" t="s">
        <v>23</v>
      </c>
      <c r="D259">
        <v>40</v>
      </c>
      <c r="E259" t="s">
        <v>48</v>
      </c>
      <c r="F259" t="s">
        <v>756</v>
      </c>
      <c r="G259" t="s">
        <v>26</v>
      </c>
      <c r="H259">
        <v>17</v>
      </c>
      <c r="I259" s="1">
        <v>96000</v>
      </c>
      <c r="J259">
        <v>4</v>
      </c>
      <c r="K259" t="s">
        <v>19</v>
      </c>
      <c r="L259" t="s">
        <v>45</v>
      </c>
      <c r="M259">
        <v>2008</v>
      </c>
    </row>
    <row r="260" spans="1:13" x14ac:dyDescent="0.3">
      <c r="A260" t="s">
        <v>757</v>
      </c>
      <c r="B260" t="s">
        <v>139</v>
      </c>
      <c r="C260" t="s">
        <v>15</v>
      </c>
      <c r="D260">
        <v>46</v>
      </c>
      <c r="E260" t="s">
        <v>39</v>
      </c>
      <c r="F260" t="s">
        <v>758</v>
      </c>
      <c r="G260" t="s">
        <v>26</v>
      </c>
      <c r="H260">
        <v>22</v>
      </c>
      <c r="I260" s="1">
        <v>158000</v>
      </c>
      <c r="J260">
        <v>5</v>
      </c>
      <c r="K260" t="s">
        <v>19</v>
      </c>
      <c r="L260" t="s">
        <v>32</v>
      </c>
      <c r="M260">
        <v>2003</v>
      </c>
    </row>
    <row r="261" spans="1:13" x14ac:dyDescent="0.3">
      <c r="A261" t="s">
        <v>759</v>
      </c>
      <c r="B261" t="s">
        <v>262</v>
      </c>
      <c r="C261" t="s">
        <v>23</v>
      </c>
      <c r="D261">
        <v>33</v>
      </c>
      <c r="E261" t="s">
        <v>30</v>
      </c>
      <c r="F261" t="s">
        <v>760</v>
      </c>
      <c r="G261" t="s">
        <v>26</v>
      </c>
      <c r="H261">
        <v>10</v>
      </c>
      <c r="I261" s="1">
        <v>82000</v>
      </c>
      <c r="J261">
        <v>4</v>
      </c>
      <c r="K261" t="s">
        <v>19</v>
      </c>
      <c r="L261" t="s">
        <v>20</v>
      </c>
      <c r="M261">
        <v>2015</v>
      </c>
    </row>
    <row r="262" spans="1:13" x14ac:dyDescent="0.3">
      <c r="A262" t="s">
        <v>761</v>
      </c>
      <c r="B262" t="s">
        <v>762</v>
      </c>
      <c r="C262" t="s">
        <v>15</v>
      </c>
      <c r="D262">
        <v>25</v>
      </c>
      <c r="E262" t="s">
        <v>43</v>
      </c>
      <c r="F262" t="s">
        <v>763</v>
      </c>
      <c r="G262" t="s">
        <v>18</v>
      </c>
      <c r="H262">
        <v>2</v>
      </c>
      <c r="I262" s="1">
        <v>36000</v>
      </c>
      <c r="J262">
        <v>3</v>
      </c>
      <c r="K262" t="s">
        <v>50</v>
      </c>
      <c r="L262" t="s">
        <v>51</v>
      </c>
      <c r="M262">
        <v>2023</v>
      </c>
    </row>
    <row r="263" spans="1:13" x14ac:dyDescent="0.3">
      <c r="A263" t="s">
        <v>764</v>
      </c>
      <c r="B263" t="s">
        <v>765</v>
      </c>
      <c r="C263" t="s">
        <v>23</v>
      </c>
      <c r="D263">
        <v>38</v>
      </c>
      <c r="E263" t="s">
        <v>24</v>
      </c>
      <c r="F263" t="s">
        <v>766</v>
      </c>
      <c r="G263" t="s">
        <v>26</v>
      </c>
      <c r="H263">
        <v>15</v>
      </c>
      <c r="I263" s="1">
        <v>94000</v>
      </c>
      <c r="J263">
        <v>4</v>
      </c>
      <c r="K263" t="s">
        <v>19</v>
      </c>
      <c r="L263" t="s">
        <v>36</v>
      </c>
      <c r="M263">
        <v>2010</v>
      </c>
    </row>
    <row r="264" spans="1:13" x14ac:dyDescent="0.3">
      <c r="A264" t="s">
        <v>767</v>
      </c>
      <c r="B264" t="s">
        <v>38</v>
      </c>
      <c r="C264" t="s">
        <v>15</v>
      </c>
      <c r="D264">
        <v>42</v>
      </c>
      <c r="E264" t="s">
        <v>16</v>
      </c>
      <c r="F264" t="s">
        <v>768</v>
      </c>
      <c r="G264" t="s">
        <v>26</v>
      </c>
      <c r="H264">
        <v>19</v>
      </c>
      <c r="I264" s="1">
        <v>138000</v>
      </c>
      <c r="J264">
        <v>5</v>
      </c>
      <c r="K264" t="s">
        <v>19</v>
      </c>
      <c r="L264" t="s">
        <v>27</v>
      </c>
      <c r="M264">
        <v>2006</v>
      </c>
    </row>
    <row r="265" spans="1:13" x14ac:dyDescent="0.3">
      <c r="A265" t="s">
        <v>769</v>
      </c>
      <c r="B265" t="s">
        <v>770</v>
      </c>
      <c r="C265" t="s">
        <v>23</v>
      </c>
      <c r="D265">
        <v>29</v>
      </c>
      <c r="E265" t="s">
        <v>48</v>
      </c>
      <c r="F265" t="s">
        <v>771</v>
      </c>
      <c r="G265" t="s">
        <v>18</v>
      </c>
      <c r="H265">
        <v>6</v>
      </c>
      <c r="I265" s="1">
        <v>54000</v>
      </c>
      <c r="J265">
        <v>3</v>
      </c>
      <c r="K265" t="s">
        <v>50</v>
      </c>
      <c r="L265" t="s">
        <v>45</v>
      </c>
      <c r="M265">
        <v>2019</v>
      </c>
    </row>
    <row r="266" spans="1:13" x14ac:dyDescent="0.3">
      <c r="A266" t="s">
        <v>772</v>
      </c>
      <c r="B266" t="s">
        <v>253</v>
      </c>
      <c r="C266" t="s">
        <v>15</v>
      </c>
      <c r="D266">
        <v>50</v>
      </c>
      <c r="E266" t="s">
        <v>39</v>
      </c>
      <c r="F266" t="s">
        <v>773</v>
      </c>
      <c r="G266" t="s">
        <v>26</v>
      </c>
      <c r="H266">
        <v>26</v>
      </c>
      <c r="I266" s="1">
        <v>168000</v>
      </c>
      <c r="J266">
        <v>5</v>
      </c>
      <c r="K266" t="s">
        <v>19</v>
      </c>
      <c r="L266" t="s">
        <v>20</v>
      </c>
      <c r="M266">
        <v>1998</v>
      </c>
    </row>
    <row r="267" spans="1:13" x14ac:dyDescent="0.3">
      <c r="A267" t="s">
        <v>774</v>
      </c>
      <c r="B267" t="s">
        <v>65</v>
      </c>
      <c r="C267" t="s">
        <v>23</v>
      </c>
      <c r="D267">
        <v>34</v>
      </c>
      <c r="E267" t="s">
        <v>30</v>
      </c>
      <c r="F267" t="s">
        <v>775</v>
      </c>
      <c r="G267" t="s">
        <v>26</v>
      </c>
      <c r="H267">
        <v>11</v>
      </c>
      <c r="I267" s="1">
        <v>86000</v>
      </c>
      <c r="J267">
        <v>4</v>
      </c>
      <c r="K267" t="s">
        <v>19</v>
      </c>
      <c r="L267" t="s">
        <v>32</v>
      </c>
      <c r="M267">
        <v>2014</v>
      </c>
    </row>
    <row r="268" spans="1:13" x14ac:dyDescent="0.3">
      <c r="A268" t="s">
        <v>776</v>
      </c>
      <c r="B268" t="s">
        <v>777</v>
      </c>
      <c r="C268" t="s">
        <v>15</v>
      </c>
      <c r="D268">
        <v>31</v>
      </c>
      <c r="E268" t="s">
        <v>16</v>
      </c>
      <c r="F268" t="s">
        <v>778</v>
      </c>
      <c r="G268" t="s">
        <v>18</v>
      </c>
      <c r="H268">
        <v>8</v>
      </c>
      <c r="I268" s="1">
        <v>70000</v>
      </c>
      <c r="J268">
        <v>4</v>
      </c>
      <c r="K268" t="s">
        <v>19</v>
      </c>
      <c r="L268" t="s">
        <v>51</v>
      </c>
      <c r="M268">
        <v>2017</v>
      </c>
    </row>
    <row r="269" spans="1:13" x14ac:dyDescent="0.3">
      <c r="A269" t="s">
        <v>779</v>
      </c>
      <c r="B269" t="s">
        <v>101</v>
      </c>
      <c r="C269" t="s">
        <v>23</v>
      </c>
      <c r="D269">
        <v>45</v>
      </c>
      <c r="E269" t="s">
        <v>24</v>
      </c>
      <c r="F269" t="s">
        <v>780</v>
      </c>
      <c r="G269" t="s">
        <v>26</v>
      </c>
      <c r="H269">
        <v>21</v>
      </c>
      <c r="I269" s="1">
        <v>125000</v>
      </c>
      <c r="J269">
        <v>5</v>
      </c>
      <c r="K269" t="s">
        <v>19</v>
      </c>
      <c r="L269" t="s">
        <v>27</v>
      </c>
      <c r="M269">
        <v>2004</v>
      </c>
    </row>
    <row r="270" spans="1:13" x14ac:dyDescent="0.3">
      <c r="A270" t="s">
        <v>781</v>
      </c>
      <c r="B270" t="s">
        <v>782</v>
      </c>
      <c r="C270" t="s">
        <v>15</v>
      </c>
      <c r="D270">
        <v>28</v>
      </c>
      <c r="E270" t="s">
        <v>43</v>
      </c>
      <c r="F270" t="s">
        <v>783</v>
      </c>
      <c r="G270" t="s">
        <v>72</v>
      </c>
      <c r="H270">
        <v>5</v>
      </c>
      <c r="I270" s="1">
        <v>60000</v>
      </c>
      <c r="J270">
        <v>3</v>
      </c>
      <c r="K270" t="s">
        <v>50</v>
      </c>
      <c r="L270" t="s">
        <v>36</v>
      </c>
      <c r="M270">
        <v>2020</v>
      </c>
    </row>
    <row r="271" spans="1:13" x14ac:dyDescent="0.3">
      <c r="A271" t="s">
        <v>784</v>
      </c>
      <c r="B271" t="s">
        <v>326</v>
      </c>
      <c r="C271" t="s">
        <v>23</v>
      </c>
      <c r="D271">
        <v>37</v>
      </c>
      <c r="E271" t="s">
        <v>48</v>
      </c>
      <c r="F271" t="s">
        <v>785</v>
      </c>
      <c r="G271" t="s">
        <v>26</v>
      </c>
      <c r="H271">
        <v>14</v>
      </c>
      <c r="I271" s="1">
        <v>88000</v>
      </c>
      <c r="J271">
        <v>4</v>
      </c>
      <c r="K271" t="s">
        <v>19</v>
      </c>
      <c r="L271" t="s">
        <v>20</v>
      </c>
      <c r="M271">
        <v>2011</v>
      </c>
    </row>
    <row r="272" spans="1:13" x14ac:dyDescent="0.3">
      <c r="A272" t="s">
        <v>786</v>
      </c>
      <c r="B272" t="s">
        <v>787</v>
      </c>
      <c r="C272" t="s">
        <v>15</v>
      </c>
      <c r="D272">
        <v>48</v>
      </c>
      <c r="E272" t="s">
        <v>39</v>
      </c>
      <c r="F272" t="s">
        <v>788</v>
      </c>
      <c r="G272" t="s">
        <v>26</v>
      </c>
      <c r="H272">
        <v>24</v>
      </c>
      <c r="I272" s="1">
        <v>152000</v>
      </c>
      <c r="J272">
        <v>5</v>
      </c>
      <c r="K272" t="s">
        <v>19</v>
      </c>
      <c r="L272" t="s">
        <v>32</v>
      </c>
      <c r="M272">
        <v>2000</v>
      </c>
    </row>
    <row r="273" spans="1:13" x14ac:dyDescent="0.3">
      <c r="A273" t="s">
        <v>789</v>
      </c>
      <c r="B273" t="s">
        <v>53</v>
      </c>
      <c r="C273" t="s">
        <v>23</v>
      </c>
      <c r="D273">
        <v>26</v>
      </c>
      <c r="E273" t="s">
        <v>24</v>
      </c>
      <c r="F273" t="s">
        <v>790</v>
      </c>
      <c r="G273" t="s">
        <v>18</v>
      </c>
      <c r="H273">
        <v>3</v>
      </c>
      <c r="I273" s="1">
        <v>40000</v>
      </c>
      <c r="J273">
        <v>3</v>
      </c>
      <c r="K273" t="s">
        <v>50</v>
      </c>
      <c r="L273" t="s">
        <v>45</v>
      </c>
      <c r="M273">
        <v>2022</v>
      </c>
    </row>
    <row r="274" spans="1:13" x14ac:dyDescent="0.3">
      <c r="A274" t="s">
        <v>791</v>
      </c>
      <c r="B274" t="s">
        <v>265</v>
      </c>
      <c r="C274" t="s">
        <v>15</v>
      </c>
      <c r="D274">
        <v>35</v>
      </c>
      <c r="E274" t="s">
        <v>30</v>
      </c>
      <c r="F274" t="s">
        <v>792</v>
      </c>
      <c r="G274" t="s">
        <v>26</v>
      </c>
      <c r="H274">
        <v>12</v>
      </c>
      <c r="I274" s="1">
        <v>90000</v>
      </c>
      <c r="J274">
        <v>4</v>
      </c>
      <c r="K274" t="s">
        <v>19</v>
      </c>
      <c r="L274" t="s">
        <v>51</v>
      </c>
      <c r="M274">
        <v>2013</v>
      </c>
    </row>
    <row r="275" spans="1:13" x14ac:dyDescent="0.3">
      <c r="A275" t="s">
        <v>793</v>
      </c>
      <c r="B275" t="s">
        <v>794</v>
      </c>
      <c r="C275" t="s">
        <v>23</v>
      </c>
      <c r="D275">
        <v>31</v>
      </c>
      <c r="E275" t="s">
        <v>43</v>
      </c>
      <c r="F275" t="s">
        <v>795</v>
      </c>
      <c r="G275" t="s">
        <v>26</v>
      </c>
      <c r="H275">
        <v>8</v>
      </c>
      <c r="I275" s="1">
        <v>72000</v>
      </c>
      <c r="J275">
        <v>4</v>
      </c>
      <c r="K275" t="s">
        <v>19</v>
      </c>
      <c r="L275" t="s">
        <v>20</v>
      </c>
      <c r="M275">
        <v>2017</v>
      </c>
    </row>
    <row r="276" spans="1:13" x14ac:dyDescent="0.3">
      <c r="A276" t="s">
        <v>796</v>
      </c>
      <c r="B276" t="s">
        <v>797</v>
      </c>
      <c r="C276" t="s">
        <v>15</v>
      </c>
      <c r="D276">
        <v>43</v>
      </c>
      <c r="E276" t="s">
        <v>16</v>
      </c>
      <c r="F276" t="s">
        <v>798</v>
      </c>
      <c r="G276" t="s">
        <v>26</v>
      </c>
      <c r="H276">
        <v>19</v>
      </c>
      <c r="I276" s="1">
        <v>128000</v>
      </c>
      <c r="J276">
        <v>5</v>
      </c>
      <c r="K276" t="s">
        <v>19</v>
      </c>
      <c r="L276" t="s">
        <v>27</v>
      </c>
      <c r="M276">
        <v>2006</v>
      </c>
    </row>
    <row r="277" spans="1:13" x14ac:dyDescent="0.3">
      <c r="A277" t="s">
        <v>799</v>
      </c>
      <c r="B277" t="s">
        <v>800</v>
      </c>
      <c r="C277" t="s">
        <v>23</v>
      </c>
      <c r="D277">
        <v>39</v>
      </c>
      <c r="E277" t="s">
        <v>48</v>
      </c>
      <c r="F277" t="s">
        <v>801</v>
      </c>
      <c r="G277" t="s">
        <v>26</v>
      </c>
      <c r="H277">
        <v>16</v>
      </c>
      <c r="I277" s="1">
        <v>92000</v>
      </c>
      <c r="J277">
        <v>4</v>
      </c>
      <c r="K277" t="s">
        <v>19</v>
      </c>
      <c r="L277" t="s">
        <v>32</v>
      </c>
      <c r="M277">
        <v>2009</v>
      </c>
    </row>
    <row r="278" spans="1:13" x14ac:dyDescent="0.3">
      <c r="A278" t="s">
        <v>802</v>
      </c>
      <c r="B278" t="s">
        <v>199</v>
      </c>
      <c r="C278" t="s">
        <v>15</v>
      </c>
      <c r="D278">
        <v>29</v>
      </c>
      <c r="E278" t="s">
        <v>39</v>
      </c>
      <c r="F278" t="s">
        <v>803</v>
      </c>
      <c r="G278" t="s">
        <v>72</v>
      </c>
      <c r="H278">
        <v>6</v>
      </c>
      <c r="I278" s="1">
        <v>62000</v>
      </c>
      <c r="J278">
        <v>4</v>
      </c>
      <c r="K278" t="s">
        <v>19</v>
      </c>
      <c r="L278" t="s">
        <v>36</v>
      </c>
      <c r="M278">
        <v>2019</v>
      </c>
    </row>
    <row r="279" spans="1:13" x14ac:dyDescent="0.3">
      <c r="A279" t="s">
        <v>804</v>
      </c>
      <c r="B279" t="s">
        <v>805</v>
      </c>
      <c r="C279" t="s">
        <v>23</v>
      </c>
      <c r="D279">
        <v>25</v>
      </c>
      <c r="E279" t="s">
        <v>24</v>
      </c>
      <c r="F279" t="s">
        <v>806</v>
      </c>
      <c r="G279" t="s">
        <v>18</v>
      </c>
      <c r="H279">
        <v>2</v>
      </c>
      <c r="I279" s="1">
        <v>35000</v>
      </c>
      <c r="J279">
        <v>3</v>
      </c>
      <c r="K279" t="s">
        <v>50</v>
      </c>
      <c r="L279" t="s">
        <v>51</v>
      </c>
      <c r="M279">
        <v>2023</v>
      </c>
    </row>
    <row r="280" spans="1:13" x14ac:dyDescent="0.3">
      <c r="A280" t="s">
        <v>807</v>
      </c>
      <c r="B280" t="s">
        <v>808</v>
      </c>
      <c r="C280" t="s">
        <v>15</v>
      </c>
      <c r="D280">
        <v>34</v>
      </c>
      <c r="E280" t="s">
        <v>43</v>
      </c>
      <c r="F280" t="s">
        <v>809</v>
      </c>
      <c r="G280" t="s">
        <v>26</v>
      </c>
      <c r="H280">
        <v>11</v>
      </c>
      <c r="I280" s="1">
        <v>84000</v>
      </c>
      <c r="J280">
        <v>4</v>
      </c>
      <c r="K280" t="s">
        <v>19</v>
      </c>
      <c r="L280" t="s">
        <v>45</v>
      </c>
      <c r="M280">
        <v>2014</v>
      </c>
    </row>
    <row r="281" spans="1:13" x14ac:dyDescent="0.3">
      <c r="A281" t="s">
        <v>810</v>
      </c>
      <c r="B281" t="s">
        <v>811</v>
      </c>
      <c r="C281" t="s">
        <v>23</v>
      </c>
      <c r="D281">
        <v>47</v>
      </c>
      <c r="E281" t="s">
        <v>30</v>
      </c>
      <c r="F281" t="s">
        <v>812</v>
      </c>
      <c r="G281" t="s">
        <v>26</v>
      </c>
      <c r="H281">
        <v>23</v>
      </c>
      <c r="I281" s="1">
        <v>145000</v>
      </c>
      <c r="J281">
        <v>5</v>
      </c>
      <c r="K281" t="s">
        <v>19</v>
      </c>
      <c r="L281" t="s">
        <v>20</v>
      </c>
      <c r="M281">
        <v>2002</v>
      </c>
    </row>
    <row r="282" spans="1:13" x14ac:dyDescent="0.3">
      <c r="A282" t="s">
        <v>813</v>
      </c>
      <c r="B282" t="s">
        <v>370</v>
      </c>
      <c r="C282" t="s">
        <v>15</v>
      </c>
      <c r="D282">
        <v>41</v>
      </c>
      <c r="E282" t="s">
        <v>16</v>
      </c>
      <c r="F282" t="s">
        <v>814</v>
      </c>
      <c r="G282" t="s">
        <v>26</v>
      </c>
      <c r="H282">
        <v>18</v>
      </c>
      <c r="I282" s="1">
        <v>115000</v>
      </c>
      <c r="J282">
        <v>5</v>
      </c>
      <c r="K282" t="s">
        <v>19</v>
      </c>
      <c r="L282" t="s">
        <v>27</v>
      </c>
      <c r="M282">
        <v>2007</v>
      </c>
    </row>
    <row r="283" spans="1:13" x14ac:dyDescent="0.3">
      <c r="A283" t="s">
        <v>815</v>
      </c>
      <c r="B283" t="s">
        <v>408</v>
      </c>
      <c r="C283" t="s">
        <v>23</v>
      </c>
      <c r="D283">
        <v>28</v>
      </c>
      <c r="E283" t="s">
        <v>48</v>
      </c>
      <c r="F283" t="s">
        <v>816</v>
      </c>
      <c r="G283" t="s">
        <v>72</v>
      </c>
      <c r="H283">
        <v>5</v>
      </c>
      <c r="I283" s="1">
        <v>60000</v>
      </c>
      <c r="J283">
        <v>3</v>
      </c>
      <c r="K283" t="s">
        <v>50</v>
      </c>
      <c r="L283" t="s">
        <v>36</v>
      </c>
      <c r="M283">
        <v>2020</v>
      </c>
    </row>
    <row r="284" spans="1:13" x14ac:dyDescent="0.3">
      <c r="A284" t="s">
        <v>817</v>
      </c>
      <c r="B284" t="s">
        <v>74</v>
      </c>
      <c r="C284" t="s">
        <v>15</v>
      </c>
      <c r="D284">
        <v>52</v>
      </c>
      <c r="E284" t="s">
        <v>39</v>
      </c>
      <c r="F284" t="s">
        <v>818</v>
      </c>
      <c r="G284" t="s">
        <v>26</v>
      </c>
      <c r="H284">
        <v>28</v>
      </c>
      <c r="I284" s="1">
        <v>182000</v>
      </c>
      <c r="J284">
        <v>5</v>
      </c>
      <c r="K284" t="s">
        <v>19</v>
      </c>
      <c r="L284" t="s">
        <v>32</v>
      </c>
      <c r="M284">
        <v>1996</v>
      </c>
    </row>
    <row r="285" spans="1:13" x14ac:dyDescent="0.3">
      <c r="A285" t="s">
        <v>819</v>
      </c>
      <c r="B285" t="s">
        <v>820</v>
      </c>
      <c r="C285" t="s">
        <v>23</v>
      </c>
      <c r="D285">
        <v>33</v>
      </c>
      <c r="E285" t="s">
        <v>24</v>
      </c>
      <c r="F285" t="s">
        <v>821</v>
      </c>
      <c r="G285" t="s">
        <v>72</v>
      </c>
      <c r="H285">
        <v>10</v>
      </c>
      <c r="I285" s="1">
        <v>76000</v>
      </c>
      <c r="J285">
        <v>4</v>
      </c>
      <c r="K285" t="s">
        <v>19</v>
      </c>
      <c r="L285" t="s">
        <v>45</v>
      </c>
      <c r="M285">
        <v>2015</v>
      </c>
    </row>
    <row r="286" spans="1:13" x14ac:dyDescent="0.3">
      <c r="A286" t="s">
        <v>822</v>
      </c>
      <c r="B286" t="s">
        <v>235</v>
      </c>
      <c r="C286" t="s">
        <v>15</v>
      </c>
      <c r="D286">
        <v>36</v>
      </c>
      <c r="E286" t="s">
        <v>30</v>
      </c>
      <c r="F286" t="s">
        <v>823</v>
      </c>
      <c r="G286" t="s">
        <v>72</v>
      </c>
      <c r="H286">
        <v>13</v>
      </c>
      <c r="I286" s="1">
        <v>94000</v>
      </c>
      <c r="J286">
        <v>4</v>
      </c>
      <c r="K286" t="s">
        <v>19</v>
      </c>
      <c r="L286" t="s">
        <v>20</v>
      </c>
      <c r="M286">
        <v>2012</v>
      </c>
    </row>
    <row r="287" spans="1:13" x14ac:dyDescent="0.3">
      <c r="A287" t="s">
        <v>824</v>
      </c>
      <c r="B287" t="s">
        <v>825</v>
      </c>
      <c r="C287" t="s">
        <v>23</v>
      </c>
      <c r="D287">
        <v>24</v>
      </c>
      <c r="E287" t="s">
        <v>43</v>
      </c>
      <c r="F287" t="s">
        <v>826</v>
      </c>
      <c r="G287" t="s">
        <v>18</v>
      </c>
      <c r="H287">
        <v>1</v>
      </c>
      <c r="I287" s="1">
        <v>26000</v>
      </c>
      <c r="J287">
        <v>2</v>
      </c>
      <c r="K287" t="s">
        <v>50</v>
      </c>
      <c r="L287" t="s">
        <v>51</v>
      </c>
      <c r="M287">
        <v>2024</v>
      </c>
    </row>
    <row r="288" spans="1:13" x14ac:dyDescent="0.3">
      <c r="A288" t="s">
        <v>827</v>
      </c>
      <c r="B288" t="s">
        <v>151</v>
      </c>
      <c r="C288" t="s">
        <v>15</v>
      </c>
      <c r="D288">
        <v>45</v>
      </c>
      <c r="E288" t="s">
        <v>16</v>
      </c>
      <c r="F288" t="s">
        <v>828</v>
      </c>
      <c r="G288" t="s">
        <v>26</v>
      </c>
      <c r="H288">
        <v>22</v>
      </c>
      <c r="I288" s="1">
        <v>158000</v>
      </c>
      <c r="J288">
        <v>5</v>
      </c>
      <c r="K288" t="s">
        <v>19</v>
      </c>
      <c r="L288" t="s">
        <v>27</v>
      </c>
      <c r="M288">
        <v>2003</v>
      </c>
    </row>
    <row r="289" spans="1:13" x14ac:dyDescent="0.3">
      <c r="A289" t="s">
        <v>829</v>
      </c>
      <c r="B289" t="s">
        <v>303</v>
      </c>
      <c r="C289" t="s">
        <v>23</v>
      </c>
      <c r="D289">
        <v>38</v>
      </c>
      <c r="E289" t="s">
        <v>48</v>
      </c>
      <c r="F289" t="s">
        <v>830</v>
      </c>
      <c r="G289" t="s">
        <v>26</v>
      </c>
      <c r="H289">
        <v>15</v>
      </c>
      <c r="I289" s="1">
        <v>90000</v>
      </c>
      <c r="J289">
        <v>4</v>
      </c>
      <c r="K289" t="s">
        <v>19</v>
      </c>
      <c r="L289" t="s">
        <v>32</v>
      </c>
      <c r="M289">
        <v>2010</v>
      </c>
    </row>
    <row r="290" spans="1:13" x14ac:dyDescent="0.3">
      <c r="A290" t="s">
        <v>831</v>
      </c>
      <c r="B290" t="s">
        <v>211</v>
      </c>
      <c r="C290" t="s">
        <v>15</v>
      </c>
      <c r="D290">
        <v>30</v>
      </c>
      <c r="E290" t="s">
        <v>39</v>
      </c>
      <c r="F290" t="s">
        <v>832</v>
      </c>
      <c r="G290" t="s">
        <v>72</v>
      </c>
      <c r="H290">
        <v>7</v>
      </c>
      <c r="I290" s="1">
        <v>74000</v>
      </c>
      <c r="J290">
        <v>4</v>
      </c>
      <c r="K290" t="s">
        <v>19</v>
      </c>
      <c r="L290" t="s">
        <v>36</v>
      </c>
      <c r="M290">
        <v>2018</v>
      </c>
    </row>
    <row r="291" spans="1:13" x14ac:dyDescent="0.3">
      <c r="A291" t="s">
        <v>833</v>
      </c>
      <c r="B291" t="s">
        <v>320</v>
      </c>
      <c r="C291" t="s">
        <v>23</v>
      </c>
      <c r="D291">
        <v>27</v>
      </c>
      <c r="E291" t="s">
        <v>24</v>
      </c>
      <c r="F291" t="s">
        <v>834</v>
      </c>
      <c r="G291" t="s">
        <v>18</v>
      </c>
      <c r="H291">
        <v>4</v>
      </c>
      <c r="I291" s="1">
        <v>46000</v>
      </c>
      <c r="J291">
        <v>3</v>
      </c>
      <c r="K291" t="s">
        <v>50</v>
      </c>
      <c r="L291" t="s">
        <v>20</v>
      </c>
      <c r="M291">
        <v>2021</v>
      </c>
    </row>
    <row r="292" spans="1:13" x14ac:dyDescent="0.3">
      <c r="A292" t="s">
        <v>835</v>
      </c>
      <c r="B292" t="s">
        <v>92</v>
      </c>
      <c r="C292" t="s">
        <v>15</v>
      </c>
      <c r="D292">
        <v>49</v>
      </c>
      <c r="E292" t="s">
        <v>30</v>
      </c>
      <c r="F292" t="s">
        <v>836</v>
      </c>
      <c r="G292" t="s">
        <v>26</v>
      </c>
      <c r="H292">
        <v>25</v>
      </c>
      <c r="I292" s="1">
        <v>165000</v>
      </c>
      <c r="J292">
        <v>5</v>
      </c>
      <c r="K292" t="s">
        <v>19</v>
      </c>
      <c r="L292" t="s">
        <v>45</v>
      </c>
      <c r="M292">
        <v>1999</v>
      </c>
    </row>
    <row r="293" spans="1:13" x14ac:dyDescent="0.3">
      <c r="A293" t="s">
        <v>837</v>
      </c>
      <c r="B293" t="s">
        <v>83</v>
      </c>
      <c r="C293" t="s">
        <v>23</v>
      </c>
      <c r="D293">
        <v>35</v>
      </c>
      <c r="E293" t="s">
        <v>43</v>
      </c>
      <c r="F293" t="s">
        <v>838</v>
      </c>
      <c r="G293" t="s">
        <v>26</v>
      </c>
      <c r="H293">
        <v>12</v>
      </c>
      <c r="I293" s="1">
        <v>86000</v>
      </c>
      <c r="J293">
        <v>4</v>
      </c>
      <c r="K293" t="s">
        <v>19</v>
      </c>
      <c r="L293" t="s">
        <v>51</v>
      </c>
      <c r="M293">
        <v>2013</v>
      </c>
    </row>
    <row r="294" spans="1:13" x14ac:dyDescent="0.3">
      <c r="A294" t="s">
        <v>839</v>
      </c>
      <c r="B294" t="s">
        <v>840</v>
      </c>
      <c r="C294" t="s">
        <v>15</v>
      </c>
      <c r="D294">
        <v>42</v>
      </c>
      <c r="E294" t="s">
        <v>16</v>
      </c>
      <c r="F294" t="s">
        <v>841</v>
      </c>
      <c r="G294" t="s">
        <v>26</v>
      </c>
      <c r="H294">
        <v>19</v>
      </c>
      <c r="I294" s="1">
        <v>120000</v>
      </c>
      <c r="J294">
        <v>5</v>
      </c>
      <c r="K294" t="s">
        <v>19</v>
      </c>
      <c r="L294" t="s">
        <v>32</v>
      </c>
      <c r="M294">
        <v>2006</v>
      </c>
    </row>
    <row r="295" spans="1:13" x14ac:dyDescent="0.3">
      <c r="A295" t="s">
        <v>842</v>
      </c>
      <c r="B295" t="s">
        <v>843</v>
      </c>
      <c r="C295" t="s">
        <v>23</v>
      </c>
      <c r="D295">
        <v>29</v>
      </c>
      <c r="E295" t="s">
        <v>48</v>
      </c>
      <c r="F295" t="s">
        <v>844</v>
      </c>
      <c r="G295" t="s">
        <v>72</v>
      </c>
      <c r="H295">
        <v>6</v>
      </c>
      <c r="I295" s="1">
        <v>64000</v>
      </c>
      <c r="J295">
        <v>4</v>
      </c>
      <c r="K295" t="s">
        <v>19</v>
      </c>
      <c r="L295" t="s">
        <v>36</v>
      </c>
      <c r="M295">
        <v>2019</v>
      </c>
    </row>
    <row r="296" spans="1:13" x14ac:dyDescent="0.3">
      <c r="A296" t="s">
        <v>845</v>
      </c>
      <c r="B296" t="s">
        <v>241</v>
      </c>
      <c r="C296" t="s">
        <v>15</v>
      </c>
      <c r="D296">
        <v>51</v>
      </c>
      <c r="E296" t="s">
        <v>39</v>
      </c>
      <c r="F296" t="s">
        <v>846</v>
      </c>
      <c r="G296" t="s">
        <v>26</v>
      </c>
      <c r="H296">
        <v>27</v>
      </c>
      <c r="I296" s="1">
        <v>178000</v>
      </c>
      <c r="J296">
        <v>5</v>
      </c>
      <c r="K296" t="s">
        <v>19</v>
      </c>
      <c r="L296" t="s">
        <v>20</v>
      </c>
      <c r="M296">
        <v>1997</v>
      </c>
    </row>
    <row r="297" spans="1:13" x14ac:dyDescent="0.3">
      <c r="A297" t="s">
        <v>847</v>
      </c>
      <c r="B297" t="s">
        <v>42</v>
      </c>
      <c r="C297" t="s">
        <v>23</v>
      </c>
      <c r="D297">
        <v>34</v>
      </c>
      <c r="E297" t="s">
        <v>24</v>
      </c>
      <c r="F297" t="s">
        <v>848</v>
      </c>
      <c r="G297" t="s">
        <v>26</v>
      </c>
      <c r="H297">
        <v>11</v>
      </c>
      <c r="I297" s="1">
        <v>82000</v>
      </c>
      <c r="J297">
        <v>4</v>
      </c>
      <c r="K297" t="s">
        <v>19</v>
      </c>
      <c r="L297" t="s">
        <v>27</v>
      </c>
      <c r="M297">
        <v>2014</v>
      </c>
    </row>
    <row r="298" spans="1:13" x14ac:dyDescent="0.3">
      <c r="A298" t="s">
        <v>849</v>
      </c>
      <c r="B298" t="s">
        <v>850</v>
      </c>
      <c r="C298" t="s">
        <v>23</v>
      </c>
      <c r="D298">
        <v>26</v>
      </c>
      <c r="E298" t="s">
        <v>30</v>
      </c>
      <c r="F298" t="s">
        <v>851</v>
      </c>
      <c r="G298" t="s">
        <v>18</v>
      </c>
      <c r="H298">
        <v>1</v>
      </c>
      <c r="I298" s="1">
        <v>28000</v>
      </c>
      <c r="J298">
        <v>2</v>
      </c>
      <c r="K298" t="s">
        <v>50</v>
      </c>
      <c r="L298" t="s">
        <v>51</v>
      </c>
      <c r="M298">
        <v>2024</v>
      </c>
    </row>
    <row r="299" spans="1:13" x14ac:dyDescent="0.3">
      <c r="A299" t="s">
        <v>852</v>
      </c>
      <c r="B299" t="s">
        <v>853</v>
      </c>
      <c r="C299" t="s">
        <v>15</v>
      </c>
      <c r="D299">
        <v>39</v>
      </c>
      <c r="E299" t="s">
        <v>43</v>
      </c>
      <c r="F299" t="s">
        <v>854</v>
      </c>
      <c r="G299" t="s">
        <v>26</v>
      </c>
      <c r="H299">
        <v>16</v>
      </c>
      <c r="I299" s="1">
        <v>98000</v>
      </c>
      <c r="J299">
        <v>4</v>
      </c>
      <c r="K299" t="s">
        <v>19</v>
      </c>
      <c r="L299" t="s">
        <v>45</v>
      </c>
      <c r="M299">
        <v>2009</v>
      </c>
    </row>
    <row r="300" spans="1:13" x14ac:dyDescent="0.3">
      <c r="A300" t="s">
        <v>855</v>
      </c>
      <c r="B300" t="s">
        <v>856</v>
      </c>
      <c r="C300" t="s">
        <v>15</v>
      </c>
      <c r="D300">
        <v>47</v>
      </c>
      <c r="E300" t="s">
        <v>16</v>
      </c>
      <c r="F300" t="s">
        <v>857</v>
      </c>
      <c r="G300" t="s">
        <v>26</v>
      </c>
      <c r="H300">
        <v>23</v>
      </c>
      <c r="I300" s="1">
        <v>190000</v>
      </c>
      <c r="J300">
        <v>5</v>
      </c>
      <c r="K300" t="s">
        <v>19</v>
      </c>
      <c r="L300" t="s">
        <v>32</v>
      </c>
      <c r="M300">
        <v>2002</v>
      </c>
    </row>
    <row r="301" spans="1:13" x14ac:dyDescent="0.3">
      <c r="A301" t="s">
        <v>858</v>
      </c>
      <c r="B301" t="s">
        <v>859</v>
      </c>
      <c r="C301" t="s">
        <v>23</v>
      </c>
      <c r="D301">
        <v>41</v>
      </c>
      <c r="E301" t="s">
        <v>24</v>
      </c>
      <c r="F301" t="s">
        <v>860</v>
      </c>
      <c r="G301" t="s">
        <v>26</v>
      </c>
      <c r="H301">
        <v>18</v>
      </c>
      <c r="I301" s="1">
        <v>135000</v>
      </c>
      <c r="J301">
        <v>5</v>
      </c>
      <c r="K301" t="s">
        <v>19</v>
      </c>
      <c r="L301" t="s">
        <v>20</v>
      </c>
      <c r="M301">
        <v>2007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DFAF2-8108-4E67-86F9-DAD38BE19531}">
  <dimension ref="A1:AR82"/>
  <sheetViews>
    <sheetView zoomScaleNormal="100" workbookViewId="0">
      <selection activeCell="N43" sqref="N43"/>
    </sheetView>
  </sheetViews>
  <sheetFormatPr defaultRowHeight="14.4" x14ac:dyDescent="0.3"/>
  <cols>
    <col min="1" max="1" width="13.44140625" bestFit="1" customWidth="1"/>
    <col min="2" max="3" width="16.88671875" bestFit="1" customWidth="1"/>
    <col min="4" max="4" width="13.44140625" bestFit="1" customWidth="1"/>
    <col min="5" max="5" width="16.88671875" bestFit="1" customWidth="1"/>
    <col min="6" max="6" width="4.5546875" bestFit="1" customWidth="1"/>
    <col min="7" max="7" width="16.88671875" bestFit="1" customWidth="1"/>
    <col min="8" max="8" width="13.44140625" bestFit="1" customWidth="1"/>
    <col min="9" max="9" width="20.5546875" bestFit="1" customWidth="1"/>
    <col min="10" max="11" width="4.5546875" bestFit="1" customWidth="1"/>
    <col min="12" max="13" width="13.44140625" bestFit="1" customWidth="1"/>
    <col min="14" max="14" width="20.5546875" bestFit="1" customWidth="1"/>
    <col min="16" max="16" width="13.44140625" bestFit="1" customWidth="1"/>
    <col min="17" max="17" width="20.5546875" bestFit="1" customWidth="1"/>
    <col min="18" max="18" width="5.33203125" bestFit="1" customWidth="1"/>
    <col min="19" max="19" width="16.109375" bestFit="1" customWidth="1"/>
    <col min="20" max="20" width="16.88671875" bestFit="1" customWidth="1"/>
    <col min="21" max="21" width="5.33203125" bestFit="1" customWidth="1"/>
    <col min="22" max="22" width="16.44140625" bestFit="1" customWidth="1"/>
    <col min="23" max="23" width="16.88671875" bestFit="1" customWidth="1"/>
    <col min="24" max="24" width="16.109375" bestFit="1" customWidth="1"/>
    <col min="25" max="25" width="16.88671875" bestFit="1" customWidth="1"/>
    <col min="26" max="26" width="5.33203125" bestFit="1" customWidth="1"/>
    <col min="27" max="27" width="11" bestFit="1" customWidth="1"/>
    <col min="28" max="28" width="8.88671875" bestFit="1" customWidth="1"/>
    <col min="29" max="29" width="13.44140625" bestFit="1" customWidth="1"/>
    <col min="30" max="30" width="13.33203125" bestFit="1" customWidth="1"/>
    <col min="31" max="31" width="11.33203125" bestFit="1" customWidth="1"/>
    <col min="32" max="32" width="8.88671875" bestFit="1" customWidth="1"/>
    <col min="33" max="33" width="16.109375" bestFit="1" customWidth="1"/>
    <col min="34" max="34" width="16.88671875" bestFit="1" customWidth="1"/>
    <col min="35" max="35" width="5.33203125" bestFit="1" customWidth="1"/>
    <col min="36" max="36" width="11.33203125" bestFit="1" customWidth="1"/>
    <col min="37" max="37" width="9.88671875" bestFit="1" customWidth="1"/>
    <col min="38" max="38" width="11" bestFit="1" customWidth="1"/>
    <col min="39" max="39" width="5.88671875" bestFit="1" customWidth="1"/>
    <col min="40" max="40" width="11.33203125" bestFit="1" customWidth="1"/>
    <col min="41" max="41" width="15.5546875" customWidth="1"/>
    <col min="42" max="42" width="13.44140625" bestFit="1" customWidth="1"/>
    <col min="43" max="43" width="28.6640625" bestFit="1" customWidth="1"/>
    <col min="44" max="44" width="20.5546875" bestFit="1" customWidth="1"/>
    <col min="45" max="46" width="2" bestFit="1" customWidth="1"/>
    <col min="47" max="47" width="11.33203125" bestFit="1" customWidth="1"/>
    <col min="48" max="51" width="10.44140625" bestFit="1" customWidth="1"/>
    <col min="52" max="67" width="8.88671875" bestFit="1" customWidth="1"/>
    <col min="68" max="72" width="10.44140625" bestFit="1" customWidth="1"/>
    <col min="73" max="73" width="8.88671875" bestFit="1" customWidth="1"/>
    <col min="74" max="75" width="10.44140625" bestFit="1" customWidth="1"/>
    <col min="76" max="88" width="8.88671875" bestFit="1" customWidth="1"/>
    <col min="89" max="89" width="10.44140625" bestFit="1" customWidth="1"/>
    <col min="90" max="90" width="11.6640625" bestFit="1" customWidth="1"/>
    <col min="91" max="94" width="10.44140625" bestFit="1" customWidth="1"/>
    <col min="95" max="108" width="8.88671875" bestFit="1" customWidth="1"/>
    <col min="109" max="109" width="14.88671875" bestFit="1" customWidth="1"/>
    <col min="110" max="110" width="12.88671875" bestFit="1" customWidth="1"/>
    <col min="111" max="120" width="10.44140625" bestFit="1" customWidth="1"/>
    <col min="121" max="130" width="8.88671875" bestFit="1" customWidth="1"/>
    <col min="131" max="131" width="16" bestFit="1" customWidth="1"/>
    <col min="132" max="134" width="10.44140625" bestFit="1" customWidth="1"/>
    <col min="135" max="135" width="8.88671875" bestFit="1" customWidth="1"/>
    <col min="136" max="136" width="10.44140625" bestFit="1" customWidth="1"/>
    <col min="137" max="150" width="8.88671875" bestFit="1" customWidth="1"/>
    <col min="151" max="151" width="10.6640625" bestFit="1" customWidth="1"/>
    <col min="152" max="152" width="11.33203125" bestFit="1" customWidth="1"/>
  </cols>
  <sheetData>
    <row r="1" spans="2:44" x14ac:dyDescent="0.3">
      <c r="G1" s="6" t="s">
        <v>876</v>
      </c>
      <c r="Y1" s="9" t="s">
        <v>890</v>
      </c>
      <c r="AF1" s="10" t="s">
        <v>899</v>
      </c>
    </row>
    <row r="2" spans="2:44" ht="15" customHeight="1" x14ac:dyDescent="0.3">
      <c r="B2" s="3" t="s">
        <v>867</v>
      </c>
      <c r="H2" s="23" t="s">
        <v>866</v>
      </c>
      <c r="I2" s="23"/>
      <c r="J2" s="14"/>
      <c r="L2" s="23" t="s">
        <v>865</v>
      </c>
      <c r="M2" s="23"/>
      <c r="N2" s="23"/>
      <c r="O2" s="20"/>
      <c r="P2" s="25" t="s">
        <v>935</v>
      </c>
      <c r="Q2" s="25"/>
      <c r="R2" s="23"/>
      <c r="S2" s="23"/>
      <c r="Z2" s="21" t="s">
        <v>889</v>
      </c>
      <c r="AA2" s="21"/>
      <c r="AG2" s="12" t="s">
        <v>900</v>
      </c>
      <c r="AH2" s="12"/>
      <c r="AI2" s="12"/>
    </row>
    <row r="3" spans="2:44" x14ac:dyDescent="0.3">
      <c r="B3" t="s">
        <v>863</v>
      </c>
      <c r="C3" t="s">
        <v>868</v>
      </c>
      <c r="H3" s="23"/>
      <c r="I3" s="23"/>
      <c r="J3" s="14"/>
      <c r="L3" s="23"/>
      <c r="M3" s="23"/>
      <c r="N3" s="23"/>
      <c r="O3" s="20"/>
      <c r="P3" s="25"/>
      <c r="Q3" s="25"/>
      <c r="R3" s="23"/>
      <c r="S3" s="23"/>
      <c r="AE3" s="25" t="s">
        <v>902</v>
      </c>
      <c r="AG3" s="2" t="s">
        <v>861</v>
      </c>
      <c r="AH3" t="s">
        <v>901</v>
      </c>
      <c r="AQ3" s="26" t="s">
        <v>905</v>
      </c>
      <c r="AR3" s="26"/>
    </row>
    <row r="4" spans="2:44" x14ac:dyDescent="0.3">
      <c r="B4">
        <v>300</v>
      </c>
      <c r="H4" s="2" t="s">
        <v>861</v>
      </c>
      <c r="I4" t="s">
        <v>863</v>
      </c>
      <c r="L4" s="2" t="s">
        <v>861</v>
      </c>
      <c r="M4" t="s">
        <v>863</v>
      </c>
      <c r="N4" t="s">
        <v>864</v>
      </c>
      <c r="Z4" s="2" t="s">
        <v>861</v>
      </c>
      <c r="AA4" t="s">
        <v>891</v>
      </c>
      <c r="AB4" t="s">
        <v>892</v>
      </c>
      <c r="AE4" s="25"/>
      <c r="AG4" s="3" t="s">
        <v>30</v>
      </c>
      <c r="AH4" s="11">
        <v>4.2352941176470589</v>
      </c>
    </row>
    <row r="5" spans="2:44" x14ac:dyDescent="0.3">
      <c r="H5" s="3" t="s">
        <v>30</v>
      </c>
      <c r="I5">
        <v>51</v>
      </c>
      <c r="L5" s="3" t="s">
        <v>932</v>
      </c>
      <c r="M5">
        <v>72</v>
      </c>
      <c r="P5" s="2" t="s">
        <v>863</v>
      </c>
      <c r="Q5" s="2" t="s">
        <v>888</v>
      </c>
      <c r="Z5" s="3" t="s">
        <v>30</v>
      </c>
      <c r="AA5" s="1">
        <v>90803.921568627455</v>
      </c>
      <c r="AB5" s="25" t="s">
        <v>893</v>
      </c>
      <c r="AC5" s="25"/>
      <c r="AE5" s="25"/>
      <c r="AG5" s="3" t="s">
        <v>24</v>
      </c>
      <c r="AH5" s="11">
        <v>3.7450980392156863</v>
      </c>
      <c r="AP5" s="2" t="s">
        <v>861</v>
      </c>
      <c r="AQ5" t="s">
        <v>901</v>
      </c>
    </row>
    <row r="6" spans="2:44" x14ac:dyDescent="0.3">
      <c r="B6" s="2" t="s">
        <v>861</v>
      </c>
      <c r="C6" t="s">
        <v>869</v>
      </c>
      <c r="D6" t="s">
        <v>870</v>
      </c>
      <c r="H6" s="3" t="s">
        <v>24</v>
      </c>
      <c r="I6">
        <v>51</v>
      </c>
      <c r="L6" s="3" t="s">
        <v>933</v>
      </c>
      <c r="M6">
        <v>71</v>
      </c>
      <c r="P6" s="2" t="s">
        <v>861</v>
      </c>
      <c r="Q6" t="s">
        <v>23</v>
      </c>
      <c r="R6" t="s">
        <v>15</v>
      </c>
      <c r="S6" t="s">
        <v>862</v>
      </c>
      <c r="Z6" s="3" t="s">
        <v>24</v>
      </c>
      <c r="AA6" s="1">
        <v>66529.411764705888</v>
      </c>
      <c r="AB6" s="25"/>
      <c r="AC6" s="25"/>
      <c r="AE6" s="25"/>
      <c r="AG6" s="3" t="s">
        <v>16</v>
      </c>
      <c r="AH6" s="11">
        <v>3.9333333333333331</v>
      </c>
      <c r="AP6" s="3" t="s">
        <v>929</v>
      </c>
      <c r="AQ6" s="11">
        <v>5</v>
      </c>
    </row>
    <row r="7" spans="2:44" x14ac:dyDescent="0.3">
      <c r="B7" s="3" t="s">
        <v>19</v>
      </c>
      <c r="C7" s="4">
        <v>0.76666666666666672</v>
      </c>
      <c r="D7" t="s">
        <v>871</v>
      </c>
      <c r="H7" s="3" t="s">
        <v>16</v>
      </c>
      <c r="I7">
        <v>60</v>
      </c>
      <c r="L7" s="3" t="s">
        <v>934</v>
      </c>
      <c r="M7">
        <v>58</v>
      </c>
      <c r="P7" s="3" t="s">
        <v>30</v>
      </c>
      <c r="Q7">
        <v>26</v>
      </c>
      <c r="R7">
        <v>25</v>
      </c>
      <c r="S7">
        <v>51</v>
      </c>
      <c r="Z7" s="3" t="s">
        <v>16</v>
      </c>
      <c r="AA7" s="1">
        <v>79283.333333333328</v>
      </c>
      <c r="AB7" s="25"/>
      <c r="AC7" s="25"/>
      <c r="AG7" s="3" t="s">
        <v>48</v>
      </c>
      <c r="AH7" s="11">
        <v>3.6739130434782608</v>
      </c>
      <c r="AP7" s="3" t="s">
        <v>930</v>
      </c>
      <c r="AQ7" s="11">
        <v>5</v>
      </c>
    </row>
    <row r="8" spans="2:44" x14ac:dyDescent="0.3">
      <c r="B8" s="3" t="s">
        <v>50</v>
      </c>
      <c r="C8" s="4">
        <v>0.23333333333333334</v>
      </c>
      <c r="D8" s="4"/>
      <c r="H8" s="3" t="s">
        <v>48</v>
      </c>
      <c r="I8">
        <v>46</v>
      </c>
      <c r="L8" s="3" t="s">
        <v>931</v>
      </c>
      <c r="M8">
        <v>58</v>
      </c>
      <c r="P8" s="3" t="s">
        <v>24</v>
      </c>
      <c r="Q8">
        <v>50</v>
      </c>
      <c r="R8">
        <v>1</v>
      </c>
      <c r="S8">
        <v>51</v>
      </c>
      <c r="Z8" s="3" t="s">
        <v>48</v>
      </c>
      <c r="AA8" s="1">
        <v>72347.826086956527</v>
      </c>
      <c r="AG8" s="3" t="s">
        <v>39</v>
      </c>
      <c r="AH8" s="11">
        <v>4.6511627906976747</v>
      </c>
      <c r="AP8" s="3" t="s">
        <v>931</v>
      </c>
      <c r="AQ8" s="11">
        <v>4.7068965517241379</v>
      </c>
    </row>
    <row r="9" spans="2:44" x14ac:dyDescent="0.3">
      <c r="E9" t="s">
        <v>924</v>
      </c>
      <c r="H9" s="3" t="s">
        <v>39</v>
      </c>
      <c r="I9">
        <v>43</v>
      </c>
      <c r="L9" s="3" t="s">
        <v>930</v>
      </c>
      <c r="M9">
        <v>29</v>
      </c>
      <c r="P9" s="3" t="s">
        <v>16</v>
      </c>
      <c r="Q9">
        <v>7</v>
      </c>
      <c r="R9">
        <v>53</v>
      </c>
      <c r="S9">
        <v>60</v>
      </c>
      <c r="Z9" s="3" t="s">
        <v>39</v>
      </c>
      <c r="AA9" s="1">
        <v>122488.37209302325</v>
      </c>
      <c r="AG9" s="3" t="s">
        <v>43</v>
      </c>
      <c r="AH9" s="11">
        <v>3.7551020408163267</v>
      </c>
      <c r="AP9" s="3" t="s">
        <v>932</v>
      </c>
      <c r="AQ9" s="11">
        <v>4.125</v>
      </c>
    </row>
    <row r="10" spans="2:44" x14ac:dyDescent="0.3">
      <c r="B10" t="s">
        <v>891</v>
      </c>
      <c r="C10" t="s">
        <v>872</v>
      </c>
      <c r="E10" t="s">
        <v>4</v>
      </c>
      <c r="H10" s="3" t="s">
        <v>43</v>
      </c>
      <c r="I10">
        <v>49</v>
      </c>
      <c r="L10" s="3" t="s">
        <v>929</v>
      </c>
      <c r="M10">
        <v>12</v>
      </c>
      <c r="P10" s="3" t="s">
        <v>48</v>
      </c>
      <c r="Q10">
        <v>38</v>
      </c>
      <c r="R10">
        <v>8</v>
      </c>
      <c r="S10">
        <v>46</v>
      </c>
      <c r="Z10" s="3" t="s">
        <v>43</v>
      </c>
      <c r="AA10" s="1">
        <v>70469.387755102041</v>
      </c>
      <c r="AG10" s="3" t="s">
        <v>862</v>
      </c>
      <c r="AH10" s="11">
        <v>3.9866666666666668</v>
      </c>
      <c r="AP10" s="3" t="s">
        <v>933</v>
      </c>
      <c r="AQ10" s="11">
        <v>3.704225352112676</v>
      </c>
    </row>
    <row r="11" spans="2:44" x14ac:dyDescent="0.3">
      <c r="B11" s="1">
        <v>82763.333333333328</v>
      </c>
      <c r="E11" t="s">
        <v>920</v>
      </c>
      <c r="H11" s="3" t="s">
        <v>862</v>
      </c>
      <c r="I11">
        <v>300</v>
      </c>
      <c r="L11" s="3" t="s">
        <v>862</v>
      </c>
      <c r="M11">
        <v>300</v>
      </c>
      <c r="P11" s="3" t="s">
        <v>39</v>
      </c>
      <c r="Q11">
        <v>5</v>
      </c>
      <c r="R11">
        <v>38</v>
      </c>
      <c r="S11">
        <v>43</v>
      </c>
      <c r="Z11" s="3" t="s">
        <v>862</v>
      </c>
      <c r="AA11" s="1">
        <v>82763.333333333328</v>
      </c>
      <c r="AP11" s="3" t="s">
        <v>934</v>
      </c>
      <c r="AQ11" s="11">
        <v>2.7241379310344827</v>
      </c>
    </row>
    <row r="12" spans="2:44" x14ac:dyDescent="0.3">
      <c r="E12" t="s">
        <v>921</v>
      </c>
      <c r="P12" s="3" t="s">
        <v>43</v>
      </c>
      <c r="Q12">
        <v>24</v>
      </c>
      <c r="R12">
        <v>25</v>
      </c>
      <c r="S12">
        <v>49</v>
      </c>
      <c r="V12" s="21" t="s">
        <v>894</v>
      </c>
      <c r="W12" s="21"/>
      <c r="X12" s="21"/>
      <c r="AG12" s="26" t="s">
        <v>903</v>
      </c>
      <c r="AH12" s="26"/>
      <c r="AI12" s="26"/>
      <c r="AP12" s="3" t="s">
        <v>862</v>
      </c>
      <c r="AQ12" s="11">
        <v>3.9866666666666668</v>
      </c>
    </row>
    <row r="13" spans="2:44" x14ac:dyDescent="0.3">
      <c r="B13" t="s">
        <v>875</v>
      </c>
      <c r="E13" t="s">
        <v>922</v>
      </c>
      <c r="P13" s="3" t="s">
        <v>862</v>
      </c>
      <c r="Q13">
        <v>150</v>
      </c>
      <c r="R13">
        <v>150</v>
      </c>
      <c r="S13">
        <v>300</v>
      </c>
      <c r="Z13" t="s">
        <v>895</v>
      </c>
    </row>
    <row r="14" spans="2:44" x14ac:dyDescent="0.3">
      <c r="B14" s="5">
        <v>3.9866666666666668</v>
      </c>
      <c r="E14" t="s">
        <v>923</v>
      </c>
      <c r="V14" s="2" t="s">
        <v>891</v>
      </c>
      <c r="W14" s="2" t="s">
        <v>888</v>
      </c>
      <c r="AG14" s="2" t="s">
        <v>901</v>
      </c>
      <c r="AH14" s="2" t="s">
        <v>888</v>
      </c>
    </row>
    <row r="15" spans="2:44" x14ac:dyDescent="0.3">
      <c r="V15" s="2" t="s">
        <v>861</v>
      </c>
      <c r="W15" t="s">
        <v>30</v>
      </c>
      <c r="X15" t="s">
        <v>24</v>
      </c>
      <c r="Y15" t="s">
        <v>16</v>
      </c>
      <c r="Z15" t="s">
        <v>48</v>
      </c>
      <c r="AA15" t="s">
        <v>39</v>
      </c>
      <c r="AB15" t="s">
        <v>43</v>
      </c>
      <c r="AC15" t="s">
        <v>862</v>
      </c>
      <c r="AG15" s="2" t="s">
        <v>861</v>
      </c>
      <c r="AH15" t="s">
        <v>30</v>
      </c>
      <c r="AI15" t="s">
        <v>24</v>
      </c>
      <c r="AJ15" t="s">
        <v>16</v>
      </c>
      <c r="AK15" t="s">
        <v>48</v>
      </c>
      <c r="AL15" t="s">
        <v>39</v>
      </c>
      <c r="AM15" t="s">
        <v>43</v>
      </c>
      <c r="AN15" t="s">
        <v>862</v>
      </c>
    </row>
    <row r="16" spans="2:44" x14ac:dyDescent="0.3">
      <c r="C16" t="s">
        <v>873</v>
      </c>
      <c r="P16" s="8" t="s">
        <v>925</v>
      </c>
      <c r="Q16" s="8"/>
      <c r="V16" s="3" t="s">
        <v>23</v>
      </c>
      <c r="W16" s="1">
        <v>95884.61538461539</v>
      </c>
      <c r="X16" s="1">
        <v>67060</v>
      </c>
      <c r="Y16" s="1">
        <v>60285.714285714283</v>
      </c>
      <c r="Z16" s="1">
        <v>65842.105263157893</v>
      </c>
      <c r="AA16" s="1">
        <v>93000</v>
      </c>
      <c r="AB16" s="1">
        <v>63458.333333333336</v>
      </c>
      <c r="AC16" s="1">
        <v>71720</v>
      </c>
      <c r="AG16" s="3" t="s">
        <v>20</v>
      </c>
      <c r="AH16" s="11">
        <v>4.166666666666667</v>
      </c>
      <c r="AI16" s="11">
        <v>4</v>
      </c>
      <c r="AJ16" s="11">
        <v>3.7222222222222223</v>
      </c>
      <c r="AK16" s="11">
        <v>3.5384615384615383</v>
      </c>
      <c r="AL16" s="11">
        <v>4.5384615384615383</v>
      </c>
      <c r="AM16" s="11">
        <v>3.8</v>
      </c>
      <c r="AN16" s="11">
        <v>3.9242424242424243</v>
      </c>
    </row>
    <row r="17" spans="1:40" x14ac:dyDescent="0.3">
      <c r="B17" s="2" t="s">
        <v>861</v>
      </c>
      <c r="C17" t="s">
        <v>874</v>
      </c>
      <c r="P17" s="2" t="s">
        <v>861</v>
      </c>
      <c r="Q17" t="s">
        <v>863</v>
      </c>
      <c r="V17" s="3" t="s">
        <v>15</v>
      </c>
      <c r="W17" s="1">
        <v>85520</v>
      </c>
      <c r="X17" s="1">
        <v>40000</v>
      </c>
      <c r="Y17" s="1">
        <v>81792.452830188675</v>
      </c>
      <c r="Z17" s="1">
        <v>103250</v>
      </c>
      <c r="AA17" s="1">
        <v>126368.42105263157</v>
      </c>
      <c r="AB17" s="1">
        <v>77200</v>
      </c>
      <c r="AC17" s="1">
        <v>93806.666666666672</v>
      </c>
      <c r="AG17" s="3" t="s">
        <v>27</v>
      </c>
      <c r="AH17" s="11">
        <v>4.75</v>
      </c>
      <c r="AI17" s="11">
        <v>4.125</v>
      </c>
      <c r="AJ17" s="11">
        <v>4.625</v>
      </c>
      <c r="AK17" s="11">
        <v>3</v>
      </c>
      <c r="AL17" s="11">
        <v>4.8181818181818183</v>
      </c>
      <c r="AM17" s="11">
        <v>4.1818181818181817</v>
      </c>
      <c r="AN17" s="11">
        <v>4.441860465116279</v>
      </c>
    </row>
    <row r="18" spans="1:40" x14ac:dyDescent="0.3">
      <c r="B18" s="3" t="s">
        <v>23</v>
      </c>
      <c r="C18" s="4">
        <v>0.5</v>
      </c>
      <c r="D18" s="4"/>
      <c r="M18" s="8" t="s">
        <v>877</v>
      </c>
      <c r="P18" s="3" t="s">
        <v>20</v>
      </c>
      <c r="Q18">
        <v>66</v>
      </c>
      <c r="V18" s="3" t="s">
        <v>862</v>
      </c>
      <c r="W18" s="1">
        <v>90803.921568627455</v>
      </c>
      <c r="X18" s="1">
        <v>66529.411764705888</v>
      </c>
      <c r="Y18" s="1">
        <v>79283.333333333328</v>
      </c>
      <c r="Z18" s="1">
        <v>72347.826086956527</v>
      </c>
      <c r="AA18" s="1">
        <v>122488.37209302325</v>
      </c>
      <c r="AB18" s="1">
        <v>70469.387755102041</v>
      </c>
      <c r="AC18" s="1">
        <v>82763.333333333328</v>
      </c>
      <c r="AG18" s="3" t="s">
        <v>45</v>
      </c>
      <c r="AH18" s="11">
        <v>4.4000000000000004</v>
      </c>
      <c r="AI18" s="11">
        <v>3.1111111111111112</v>
      </c>
      <c r="AJ18" s="11">
        <v>3.5</v>
      </c>
      <c r="AK18" s="11">
        <v>3.5555555555555554</v>
      </c>
      <c r="AL18" s="11">
        <v>4.5</v>
      </c>
      <c r="AM18" s="11">
        <v>3.5</v>
      </c>
      <c r="AN18" s="11">
        <v>3.7659574468085109</v>
      </c>
    </row>
    <row r="19" spans="1:40" x14ac:dyDescent="0.3">
      <c r="B19" s="3" t="s">
        <v>15</v>
      </c>
      <c r="C19" s="4">
        <v>0.5</v>
      </c>
      <c r="D19" s="4"/>
      <c r="P19" s="3" t="s">
        <v>27</v>
      </c>
      <c r="Q19">
        <v>43</v>
      </c>
      <c r="AG19" s="3" t="s">
        <v>36</v>
      </c>
      <c r="AH19" s="11">
        <v>4.166666666666667</v>
      </c>
      <c r="AI19" s="11">
        <v>3.7142857142857144</v>
      </c>
      <c r="AJ19" s="11">
        <v>3.6</v>
      </c>
      <c r="AK19" s="11">
        <v>3.3636363636363638</v>
      </c>
      <c r="AL19" s="11">
        <v>4.1428571428571432</v>
      </c>
      <c r="AM19" s="11">
        <v>3</v>
      </c>
      <c r="AN19" s="11">
        <v>3.7021276595744679</v>
      </c>
    </row>
    <row r="20" spans="1:40" x14ac:dyDescent="0.3">
      <c r="B20" s="3" t="s">
        <v>862</v>
      </c>
      <c r="C20" s="4">
        <v>1</v>
      </c>
      <c r="D20" s="4"/>
      <c r="M20" s="2" t="s">
        <v>861</v>
      </c>
      <c r="N20" t="s">
        <v>863</v>
      </c>
      <c r="P20" s="3" t="s">
        <v>45</v>
      </c>
      <c r="Q20">
        <v>47</v>
      </c>
      <c r="AG20" s="3" t="s">
        <v>32</v>
      </c>
      <c r="AH20" s="11">
        <v>4.4545454545454541</v>
      </c>
      <c r="AI20" s="11">
        <v>4.5999999999999996</v>
      </c>
      <c r="AJ20" s="11">
        <v>4.625</v>
      </c>
      <c r="AK20" s="11">
        <v>4.3636363636363633</v>
      </c>
      <c r="AL20" s="11">
        <v>5</v>
      </c>
      <c r="AM20" s="11">
        <v>4.8</v>
      </c>
      <c r="AN20" s="11">
        <v>4.5882352941176467</v>
      </c>
    </row>
    <row r="21" spans="1:40" x14ac:dyDescent="0.3">
      <c r="M21" s="3" t="s">
        <v>19</v>
      </c>
      <c r="N21">
        <v>230</v>
      </c>
      <c r="P21" s="3" t="s">
        <v>36</v>
      </c>
      <c r="Q21">
        <v>47</v>
      </c>
      <c r="Z21" s="21" t="s">
        <v>898</v>
      </c>
      <c r="AA21" s="21"/>
      <c r="AB21" s="21"/>
      <c r="AC21" s="21"/>
      <c r="AD21" s="21"/>
      <c r="AG21" s="3" t="s">
        <v>51</v>
      </c>
      <c r="AH21" s="11">
        <v>3.5555555555555554</v>
      </c>
      <c r="AI21" s="11">
        <v>3.0909090909090908</v>
      </c>
      <c r="AJ21" s="11">
        <v>3.7777777777777777</v>
      </c>
      <c r="AK21" s="11">
        <v>3</v>
      </c>
      <c r="AL21" s="11">
        <v>5</v>
      </c>
      <c r="AM21" s="11">
        <v>3.1666666666666665</v>
      </c>
      <c r="AN21" s="11">
        <v>3.5</v>
      </c>
    </row>
    <row r="22" spans="1:40" x14ac:dyDescent="0.3">
      <c r="M22" s="3" t="s">
        <v>50</v>
      </c>
      <c r="N22">
        <v>70</v>
      </c>
      <c r="P22" s="3" t="s">
        <v>32</v>
      </c>
      <c r="Q22">
        <v>51</v>
      </c>
      <c r="AG22" s="3" t="s">
        <v>862</v>
      </c>
      <c r="AH22" s="11">
        <v>4.2352941176470589</v>
      </c>
      <c r="AI22" s="11">
        <v>3.7450980392156863</v>
      </c>
      <c r="AJ22" s="11">
        <v>3.9333333333333331</v>
      </c>
      <c r="AK22" s="11">
        <v>3.6739130434782608</v>
      </c>
      <c r="AL22" s="11">
        <v>4.6511627906976747</v>
      </c>
      <c r="AM22" s="11">
        <v>3.7551020408163267</v>
      </c>
      <c r="AN22" s="11">
        <v>3.9866666666666668</v>
      </c>
    </row>
    <row r="23" spans="1:40" x14ac:dyDescent="0.3">
      <c r="M23" s="3" t="s">
        <v>862</v>
      </c>
      <c r="N23">
        <v>300</v>
      </c>
      <c r="P23" s="3" t="s">
        <v>51</v>
      </c>
      <c r="Q23">
        <v>46</v>
      </c>
      <c r="AG23" t="s">
        <v>904</v>
      </c>
    </row>
    <row r="24" spans="1:40" x14ac:dyDescent="0.3">
      <c r="P24" s="3" t="s">
        <v>862</v>
      </c>
      <c r="Q24">
        <v>300</v>
      </c>
    </row>
    <row r="25" spans="1:40" x14ac:dyDescent="0.3">
      <c r="A25" s="7" t="s">
        <v>878</v>
      </c>
      <c r="AG25" s="26" t="s">
        <v>906</v>
      </c>
      <c r="AH25" s="26"/>
    </row>
    <row r="26" spans="1:40" x14ac:dyDescent="0.3">
      <c r="AG26" s="2" t="s">
        <v>907</v>
      </c>
      <c r="AH26" s="2" t="s">
        <v>888</v>
      </c>
    </row>
    <row r="27" spans="1:40" x14ac:dyDescent="0.3">
      <c r="A27" s="30" t="s">
        <v>879</v>
      </c>
      <c r="B27" s="30"/>
      <c r="D27" s="28" t="s">
        <v>880</v>
      </c>
      <c r="E27" s="28"/>
      <c r="AG27" s="2" t="s">
        <v>861</v>
      </c>
      <c r="AH27" t="s">
        <v>23</v>
      </c>
      <c r="AI27" t="s">
        <v>15</v>
      </c>
      <c r="AJ27" t="s">
        <v>862</v>
      </c>
    </row>
    <row r="28" spans="1:40" x14ac:dyDescent="0.3">
      <c r="A28" s="30"/>
      <c r="B28" s="30"/>
      <c r="AG28" s="3">
        <v>2</v>
      </c>
      <c r="AH28">
        <v>12</v>
      </c>
      <c r="AI28">
        <v>5</v>
      </c>
      <c r="AJ28">
        <v>17</v>
      </c>
    </row>
    <row r="29" spans="1:40" x14ac:dyDescent="0.3">
      <c r="A29" s="2" t="s">
        <v>861</v>
      </c>
      <c r="B29" t="s">
        <v>869</v>
      </c>
      <c r="D29" s="2" t="s">
        <v>887</v>
      </c>
      <c r="E29" s="2" t="s">
        <v>888</v>
      </c>
      <c r="U29" t="s">
        <v>897</v>
      </c>
      <c r="AG29" s="3">
        <v>3</v>
      </c>
      <c r="AH29">
        <v>40</v>
      </c>
      <c r="AI29">
        <v>21</v>
      </c>
      <c r="AJ29">
        <v>61</v>
      </c>
    </row>
    <row r="30" spans="1:40" x14ac:dyDescent="0.3">
      <c r="A30" s="3" t="s">
        <v>929</v>
      </c>
      <c r="B30" s="4">
        <v>0.04</v>
      </c>
      <c r="D30" s="2" t="s">
        <v>861</v>
      </c>
      <c r="E30" t="s">
        <v>19</v>
      </c>
      <c r="F30" t="s">
        <v>50</v>
      </c>
      <c r="AG30" s="3">
        <v>4</v>
      </c>
      <c r="AH30">
        <v>64</v>
      </c>
      <c r="AI30">
        <v>67</v>
      </c>
      <c r="AJ30">
        <v>131</v>
      </c>
    </row>
    <row r="31" spans="1:40" x14ac:dyDescent="0.3">
      <c r="A31" s="3" t="s">
        <v>930</v>
      </c>
      <c r="B31" s="4">
        <v>9.6666666666666665E-2</v>
      </c>
      <c r="D31" s="3" t="s">
        <v>30</v>
      </c>
      <c r="E31" s="4">
        <v>0.90196078431372551</v>
      </c>
      <c r="F31" s="4">
        <v>9.8039215686274508E-2</v>
      </c>
      <c r="G31" t="s">
        <v>881</v>
      </c>
      <c r="AG31" s="3">
        <v>5</v>
      </c>
      <c r="AH31">
        <v>34</v>
      </c>
      <c r="AI31">
        <v>57</v>
      </c>
      <c r="AJ31">
        <v>91</v>
      </c>
    </row>
    <row r="32" spans="1:40" x14ac:dyDescent="0.3">
      <c r="A32" s="3" t="s">
        <v>931</v>
      </c>
      <c r="B32" s="4">
        <v>0.19333333333333333</v>
      </c>
      <c r="D32" s="3" t="s">
        <v>24</v>
      </c>
      <c r="E32" s="4">
        <v>0.56862745098039214</v>
      </c>
      <c r="F32" s="4">
        <v>0.43137254901960786</v>
      </c>
      <c r="R32" s="13" t="s">
        <v>908</v>
      </c>
      <c r="X32" s="29" t="s">
        <v>911</v>
      </c>
      <c r="Y32" s="29"/>
      <c r="Z32" s="29"/>
      <c r="AG32" s="3" t="s">
        <v>862</v>
      </c>
      <c r="AH32">
        <v>150</v>
      </c>
      <c r="AI32">
        <v>150</v>
      </c>
      <c r="AJ32">
        <v>300</v>
      </c>
    </row>
    <row r="33" spans="1:40" x14ac:dyDescent="0.3">
      <c r="A33" s="3" t="s">
        <v>932</v>
      </c>
      <c r="B33" s="4">
        <v>0.24</v>
      </c>
      <c r="D33" s="3" t="s">
        <v>16</v>
      </c>
      <c r="E33" s="4">
        <v>0.83333333333333337</v>
      </c>
      <c r="F33" s="4">
        <v>0.16666666666666666</v>
      </c>
      <c r="S33" s="29" t="s">
        <v>909</v>
      </c>
      <c r="T33" s="29"/>
    </row>
    <row r="34" spans="1:40" x14ac:dyDescent="0.3">
      <c r="A34" s="3" t="s">
        <v>933</v>
      </c>
      <c r="B34" s="4">
        <v>0.23666666666666666</v>
      </c>
      <c r="D34" s="3" t="s">
        <v>48</v>
      </c>
      <c r="E34" s="4">
        <v>0.67391304347826086</v>
      </c>
      <c r="F34" s="4">
        <v>0.32608695652173914</v>
      </c>
      <c r="X34" s="2" t="s">
        <v>907</v>
      </c>
      <c r="Y34" s="2" t="s">
        <v>888</v>
      </c>
    </row>
    <row r="35" spans="1:40" x14ac:dyDescent="0.3">
      <c r="A35" s="3" t="s">
        <v>934</v>
      </c>
      <c r="B35" s="4">
        <v>0.19333333333333333</v>
      </c>
      <c r="D35" s="3" t="s">
        <v>39</v>
      </c>
      <c r="E35" s="4">
        <v>1</v>
      </c>
      <c r="F35" s="4">
        <v>0</v>
      </c>
      <c r="S35" s="2" t="s">
        <v>907</v>
      </c>
      <c r="T35" s="2" t="s">
        <v>888</v>
      </c>
      <c r="X35" s="2" t="s">
        <v>861</v>
      </c>
      <c r="Y35" t="s">
        <v>23</v>
      </c>
      <c r="Z35" t="s">
        <v>15</v>
      </c>
      <c r="AG35" s="2" t="s">
        <v>928</v>
      </c>
    </row>
    <row r="36" spans="1:40" x14ac:dyDescent="0.3">
      <c r="D36" s="3" t="s">
        <v>43</v>
      </c>
      <c r="E36" s="4">
        <v>0.63265306122448983</v>
      </c>
      <c r="F36" s="4">
        <v>0.36734693877551022</v>
      </c>
      <c r="S36" s="2" t="s">
        <v>861</v>
      </c>
      <c r="T36" t="s">
        <v>23</v>
      </c>
      <c r="U36" t="s">
        <v>15</v>
      </c>
      <c r="X36" s="3" t="s">
        <v>20</v>
      </c>
      <c r="Y36" s="4">
        <v>0.39393939393939392</v>
      </c>
      <c r="Z36" s="4">
        <v>0.60606060606060608</v>
      </c>
      <c r="AA36" t="s">
        <v>912</v>
      </c>
      <c r="AH36" t="s">
        <v>30</v>
      </c>
      <c r="AI36" t="s">
        <v>24</v>
      </c>
      <c r="AJ36" t="s">
        <v>16</v>
      </c>
      <c r="AK36" t="s">
        <v>48</v>
      </c>
      <c r="AL36" t="s">
        <v>39</v>
      </c>
      <c r="AM36" t="s">
        <v>43</v>
      </c>
      <c r="AN36" t="s">
        <v>862</v>
      </c>
    </row>
    <row r="37" spans="1:40" x14ac:dyDescent="0.3">
      <c r="S37" s="3" t="s">
        <v>30</v>
      </c>
      <c r="T37" s="4">
        <v>0.50980392156862742</v>
      </c>
      <c r="U37" s="4">
        <v>0.49019607843137253</v>
      </c>
      <c r="V37" t="s">
        <v>910</v>
      </c>
      <c r="X37" s="3" t="s">
        <v>27</v>
      </c>
      <c r="Y37" s="4">
        <v>0.44186046511627908</v>
      </c>
      <c r="Z37" s="4">
        <v>0.55813953488372092</v>
      </c>
      <c r="AG37" s="3" t="s">
        <v>20</v>
      </c>
      <c r="AH37" s="11">
        <v>4.166666666666667</v>
      </c>
      <c r="AI37" s="11">
        <v>4</v>
      </c>
      <c r="AJ37" s="11">
        <v>3.7222222222222223</v>
      </c>
      <c r="AK37" s="11">
        <v>3.5384615384615383</v>
      </c>
      <c r="AL37" s="11">
        <v>4.5384615384615383</v>
      </c>
      <c r="AM37" s="11">
        <v>3.8</v>
      </c>
      <c r="AN37" s="11">
        <v>3.9242424242424243</v>
      </c>
    </row>
    <row r="38" spans="1:40" ht="15" customHeight="1" x14ac:dyDescent="0.3">
      <c r="D38" s="28" t="s">
        <v>882</v>
      </c>
      <c r="E38" s="28"/>
      <c r="G38" s="22" t="s">
        <v>883</v>
      </c>
      <c r="S38" s="3" t="s">
        <v>24</v>
      </c>
      <c r="T38" s="4">
        <v>0.98039215686274506</v>
      </c>
      <c r="U38" s="4">
        <v>1.9607843137254902E-2</v>
      </c>
      <c r="X38" s="3" t="s">
        <v>45</v>
      </c>
      <c r="Y38" s="4">
        <v>0.57446808510638303</v>
      </c>
      <c r="Z38" s="4">
        <v>0.42553191489361702</v>
      </c>
      <c r="AG38" s="3" t="s">
        <v>27</v>
      </c>
      <c r="AH38" s="11">
        <v>4.75</v>
      </c>
      <c r="AI38" s="11">
        <v>4.125</v>
      </c>
      <c r="AJ38" s="11">
        <v>4.625</v>
      </c>
      <c r="AK38" s="11">
        <v>3</v>
      </c>
      <c r="AL38" s="11">
        <v>4.8181818181818183</v>
      </c>
      <c r="AM38" s="11">
        <v>4.1818181818181817</v>
      </c>
      <c r="AN38" s="11">
        <v>4.441860465116279</v>
      </c>
    </row>
    <row r="39" spans="1:40" x14ac:dyDescent="0.3">
      <c r="D39" s="2" t="s">
        <v>887</v>
      </c>
      <c r="E39" s="2" t="s">
        <v>888</v>
      </c>
      <c r="G39" s="22"/>
      <c r="S39" s="3" t="s">
        <v>16</v>
      </c>
      <c r="T39" s="4">
        <v>0.11666666666666667</v>
      </c>
      <c r="U39" s="4">
        <v>0.8833333333333333</v>
      </c>
      <c r="X39" s="3" t="s">
        <v>36</v>
      </c>
      <c r="Y39" s="4">
        <v>0.55319148936170215</v>
      </c>
      <c r="Z39" s="4">
        <v>0.44680851063829785</v>
      </c>
      <c r="AG39" s="3" t="s">
        <v>45</v>
      </c>
      <c r="AH39" s="11">
        <v>4.4000000000000004</v>
      </c>
      <c r="AI39" s="11">
        <v>3.1111111111111112</v>
      </c>
      <c r="AJ39" s="11">
        <v>3.5</v>
      </c>
      <c r="AK39" s="11">
        <v>3.5555555555555554</v>
      </c>
      <c r="AL39" s="11">
        <v>4.5</v>
      </c>
      <c r="AM39" s="11">
        <v>3.5</v>
      </c>
      <c r="AN39" s="11">
        <v>3.7659574468085109</v>
      </c>
    </row>
    <row r="40" spans="1:40" x14ac:dyDescent="0.3">
      <c r="D40" s="2" t="s">
        <v>861</v>
      </c>
      <c r="E40" t="s">
        <v>19</v>
      </c>
      <c r="F40" t="s">
        <v>50</v>
      </c>
      <c r="G40" s="22"/>
      <c r="S40" s="3" t="s">
        <v>48</v>
      </c>
      <c r="T40" s="4">
        <v>0.82608695652173914</v>
      </c>
      <c r="U40" s="4">
        <v>0.17391304347826086</v>
      </c>
      <c r="X40" s="3" t="s">
        <v>32</v>
      </c>
      <c r="Y40" s="4">
        <v>0.56862745098039214</v>
      </c>
      <c r="Z40" s="4">
        <v>0.43137254901960786</v>
      </c>
      <c r="AG40" s="3" t="s">
        <v>36</v>
      </c>
      <c r="AH40" s="11">
        <v>4.166666666666667</v>
      </c>
      <c r="AI40" s="11">
        <v>3.7142857142857144</v>
      </c>
      <c r="AJ40" s="11">
        <v>3.6</v>
      </c>
      <c r="AK40" s="11">
        <v>3.3636363636363638</v>
      </c>
      <c r="AL40" s="11">
        <v>4.1428571428571432</v>
      </c>
      <c r="AM40" s="11">
        <v>3</v>
      </c>
      <c r="AN40" s="11">
        <v>3.7021276595744679</v>
      </c>
    </row>
    <row r="41" spans="1:40" x14ac:dyDescent="0.3">
      <c r="D41" s="3" t="s">
        <v>20</v>
      </c>
      <c r="E41" s="4">
        <v>0.81818181818181823</v>
      </c>
      <c r="F41" s="4">
        <v>0.18181818181818182</v>
      </c>
      <c r="S41" s="3" t="s">
        <v>39</v>
      </c>
      <c r="T41" s="4">
        <v>0.11627906976744186</v>
      </c>
      <c r="U41" s="4">
        <v>0.88372093023255816</v>
      </c>
      <c r="X41" s="3" t="s">
        <v>51</v>
      </c>
      <c r="Y41" s="4">
        <v>0.5</v>
      </c>
      <c r="Z41" s="4">
        <v>0.5</v>
      </c>
      <c r="AG41" s="3" t="s">
        <v>32</v>
      </c>
      <c r="AH41" s="11">
        <v>4.4545454545454541</v>
      </c>
      <c r="AI41" s="11">
        <v>4.5999999999999996</v>
      </c>
      <c r="AJ41" s="11">
        <v>4.625</v>
      </c>
      <c r="AK41" s="11">
        <v>4.3636363636363633</v>
      </c>
      <c r="AL41" s="11">
        <v>5</v>
      </c>
      <c r="AM41" s="11">
        <v>4.8</v>
      </c>
      <c r="AN41" s="11">
        <v>4.5882352941176467</v>
      </c>
    </row>
    <row r="42" spans="1:40" x14ac:dyDescent="0.3">
      <c r="D42" s="3" t="s">
        <v>27</v>
      </c>
      <c r="E42" s="4">
        <v>0.88372093023255816</v>
      </c>
      <c r="F42" s="4">
        <v>0.11627906976744186</v>
      </c>
      <c r="S42" s="3" t="s">
        <v>43</v>
      </c>
      <c r="T42" s="4">
        <v>0.48979591836734693</v>
      </c>
      <c r="U42" s="4">
        <v>0.51020408163265307</v>
      </c>
      <c r="AG42" s="3" t="s">
        <v>51</v>
      </c>
      <c r="AH42" s="11">
        <v>3.5555555555555554</v>
      </c>
      <c r="AI42" s="11">
        <v>3.0909090909090908</v>
      </c>
      <c r="AJ42" s="11">
        <v>3.7777777777777777</v>
      </c>
      <c r="AK42" s="11">
        <v>3</v>
      </c>
      <c r="AL42" s="11">
        <v>5</v>
      </c>
      <c r="AM42" s="11">
        <v>3.1666666666666665</v>
      </c>
      <c r="AN42" s="11">
        <v>3.5</v>
      </c>
    </row>
    <row r="43" spans="1:40" x14ac:dyDescent="0.3">
      <c r="D43" s="3" t="s">
        <v>45</v>
      </c>
      <c r="E43" s="4">
        <v>0.68085106382978722</v>
      </c>
      <c r="F43" s="4">
        <v>0.31914893617021278</v>
      </c>
      <c r="AG43" s="3" t="s">
        <v>862</v>
      </c>
      <c r="AH43" s="11">
        <v>4.2352941176470589</v>
      </c>
      <c r="AI43" s="11">
        <v>3.7450980392156863</v>
      </c>
      <c r="AJ43" s="11">
        <v>3.9333333333333331</v>
      </c>
      <c r="AK43" s="11">
        <v>3.6739130434782608</v>
      </c>
      <c r="AL43" s="11">
        <v>4.6511627906976747</v>
      </c>
      <c r="AM43" s="11">
        <v>3.7551020408163267</v>
      </c>
      <c r="AN43" s="11">
        <v>3.9866666666666668</v>
      </c>
    </row>
    <row r="44" spans="1:40" x14ac:dyDescent="0.3">
      <c r="D44" s="3" t="s">
        <v>36</v>
      </c>
      <c r="E44" s="4">
        <v>0.72340425531914898</v>
      </c>
      <c r="F44" s="4">
        <v>0.27659574468085107</v>
      </c>
      <c r="S44" s="29" t="s">
        <v>913</v>
      </c>
      <c r="T44" s="29"/>
      <c r="X44" s="24" t="s">
        <v>916</v>
      </c>
      <c r="Y44" s="24"/>
      <c r="Z44" s="24"/>
    </row>
    <row r="45" spans="1:40" x14ac:dyDescent="0.3">
      <c r="D45" s="3" t="s">
        <v>32</v>
      </c>
      <c r="E45" s="4">
        <v>0.96078431372549022</v>
      </c>
      <c r="F45" s="4">
        <v>3.9215686274509803E-2</v>
      </c>
      <c r="X45" s="24"/>
      <c r="Y45" s="24"/>
      <c r="Z45" s="24"/>
    </row>
    <row r="46" spans="1:40" x14ac:dyDescent="0.3">
      <c r="D46" s="3" t="s">
        <v>51</v>
      </c>
      <c r="E46" s="4">
        <v>0.5</v>
      </c>
      <c r="F46" s="4">
        <v>0.5</v>
      </c>
      <c r="S46" s="2" t="s">
        <v>907</v>
      </c>
      <c r="T46" s="2" t="s">
        <v>888</v>
      </c>
    </row>
    <row r="47" spans="1:40" x14ac:dyDescent="0.3">
      <c r="S47" s="2" t="s">
        <v>861</v>
      </c>
      <c r="T47" t="s">
        <v>23</v>
      </c>
      <c r="U47" t="s">
        <v>15</v>
      </c>
      <c r="X47" s="2" t="s">
        <v>861</v>
      </c>
      <c r="Y47" t="s">
        <v>907</v>
      </c>
    </row>
    <row r="48" spans="1:40" x14ac:dyDescent="0.3">
      <c r="S48" s="3" t="s">
        <v>929</v>
      </c>
      <c r="T48" s="4">
        <v>0</v>
      </c>
      <c r="U48" s="4">
        <v>1</v>
      </c>
      <c r="V48" s="15" t="s">
        <v>914</v>
      </c>
      <c r="X48" s="3" t="s">
        <v>23</v>
      </c>
      <c r="Y48" s="4">
        <v>0.5</v>
      </c>
      <c r="Z48" t="s">
        <v>917</v>
      </c>
    </row>
    <row r="49" spans="4:27" x14ac:dyDescent="0.3">
      <c r="D49" s="28" t="s">
        <v>884</v>
      </c>
      <c r="E49" s="28"/>
      <c r="S49" s="3" t="s">
        <v>930</v>
      </c>
      <c r="T49" s="4">
        <v>0.34482758620689657</v>
      </c>
      <c r="U49" s="4">
        <v>0.65517241379310343</v>
      </c>
      <c r="X49" s="3" t="s">
        <v>15</v>
      </c>
      <c r="Y49" s="4">
        <v>0.5</v>
      </c>
    </row>
    <row r="50" spans="4:27" x14ac:dyDescent="0.3">
      <c r="D50" s="2" t="s">
        <v>869</v>
      </c>
      <c r="E50" s="2" t="s">
        <v>888</v>
      </c>
      <c r="S50" s="3" t="s">
        <v>931</v>
      </c>
      <c r="T50" s="4">
        <v>0.43103448275862066</v>
      </c>
      <c r="U50" s="4">
        <v>0.56896551724137934</v>
      </c>
      <c r="V50" t="s">
        <v>915</v>
      </c>
    </row>
    <row r="51" spans="4:27" x14ac:dyDescent="0.3">
      <c r="D51" s="2" t="s">
        <v>861</v>
      </c>
      <c r="E51" t="s">
        <v>19</v>
      </c>
      <c r="F51" t="s">
        <v>50</v>
      </c>
      <c r="S51" s="3" t="s">
        <v>932</v>
      </c>
      <c r="T51" s="4">
        <v>0.52777777777777779</v>
      </c>
      <c r="U51" s="4">
        <v>0.47222222222222221</v>
      </c>
      <c r="X51" s="24" t="s">
        <v>918</v>
      </c>
      <c r="Y51" s="24"/>
      <c r="Z51" s="24"/>
    </row>
    <row r="52" spans="4:27" ht="15" customHeight="1" x14ac:dyDescent="0.3">
      <c r="D52" s="3" t="s">
        <v>23</v>
      </c>
      <c r="E52" s="4">
        <v>0.68</v>
      </c>
      <c r="F52" s="4">
        <v>0.32</v>
      </c>
      <c r="G52" t="s">
        <v>885</v>
      </c>
      <c r="S52" s="3" t="s">
        <v>933</v>
      </c>
      <c r="T52" s="4">
        <v>0.49295774647887325</v>
      </c>
      <c r="U52" s="4">
        <v>0.50704225352112675</v>
      </c>
      <c r="X52" s="24"/>
      <c r="Y52" s="24"/>
      <c r="Z52" s="24"/>
    </row>
    <row r="53" spans="4:27" x14ac:dyDescent="0.3">
      <c r="D53" s="3" t="s">
        <v>15</v>
      </c>
      <c r="E53" s="4">
        <v>0.85333333333333339</v>
      </c>
      <c r="F53" s="4">
        <v>0.14666666666666667</v>
      </c>
      <c r="S53" s="3" t="s">
        <v>934</v>
      </c>
      <c r="T53" s="4">
        <v>0.72413793103448276</v>
      </c>
      <c r="U53" s="4">
        <v>0.27586206896551724</v>
      </c>
    </row>
    <row r="55" spans="4:27" x14ac:dyDescent="0.3">
      <c r="W55" s="2" t="s">
        <v>907</v>
      </c>
      <c r="X55" s="2" t="s">
        <v>888</v>
      </c>
    </row>
    <row r="56" spans="4:27" x14ac:dyDescent="0.3">
      <c r="W56" s="2" t="s">
        <v>861</v>
      </c>
      <c r="X56" t="s">
        <v>23</v>
      </c>
      <c r="Y56" t="s">
        <v>15</v>
      </c>
    </row>
    <row r="57" spans="4:27" x14ac:dyDescent="0.3">
      <c r="W57" s="3" t="s">
        <v>30</v>
      </c>
      <c r="X57" s="4">
        <v>0.50980392156862742</v>
      </c>
      <c r="Y57" s="4">
        <v>0.49019607843137253</v>
      </c>
      <c r="Z57" s="25" t="s">
        <v>919</v>
      </c>
      <c r="AA57" s="25"/>
    </row>
    <row r="58" spans="4:27" x14ac:dyDescent="0.3">
      <c r="D58" s="27" t="s">
        <v>886</v>
      </c>
      <c r="E58" s="27"/>
      <c r="W58" s="3" t="s">
        <v>24</v>
      </c>
      <c r="X58" s="4">
        <v>0.98039215686274506</v>
      </c>
      <c r="Y58" s="4">
        <v>1.9607843137254902E-2</v>
      </c>
      <c r="Z58" s="25"/>
      <c r="AA58" s="25"/>
    </row>
    <row r="59" spans="4:27" x14ac:dyDescent="0.3">
      <c r="D59" s="27"/>
      <c r="E59" s="27"/>
      <c r="W59" s="3" t="s">
        <v>16</v>
      </c>
      <c r="X59" s="4">
        <v>0.11666666666666667</v>
      </c>
      <c r="Y59" s="4">
        <v>0.8833333333333333</v>
      </c>
    </row>
    <row r="60" spans="4:27" x14ac:dyDescent="0.3">
      <c r="D60" s="2" t="s">
        <v>863</v>
      </c>
      <c r="E60" s="2" t="s">
        <v>888</v>
      </c>
      <c r="W60" s="3" t="s">
        <v>48</v>
      </c>
      <c r="X60" s="4">
        <v>0.82608695652173914</v>
      </c>
      <c r="Y60" s="4">
        <v>0.17391304347826086</v>
      </c>
    </row>
    <row r="61" spans="4:27" x14ac:dyDescent="0.3">
      <c r="D61" s="2" t="s">
        <v>861</v>
      </c>
      <c r="E61" t="s">
        <v>50</v>
      </c>
      <c r="W61" s="3" t="s">
        <v>39</v>
      </c>
      <c r="X61" s="4">
        <v>0.11627906976744186</v>
      </c>
      <c r="Y61" s="4">
        <v>0.88372093023255816</v>
      </c>
    </row>
    <row r="62" spans="4:27" x14ac:dyDescent="0.3">
      <c r="D62" s="3" t="s">
        <v>24</v>
      </c>
      <c r="E62" s="4">
        <v>0.31428571428571428</v>
      </c>
      <c r="W62" s="3" t="s">
        <v>43</v>
      </c>
      <c r="X62" s="4">
        <v>0.48979591836734693</v>
      </c>
      <c r="Y62" s="4">
        <v>0.51020408163265307</v>
      </c>
    </row>
    <row r="63" spans="4:27" x14ac:dyDescent="0.3">
      <c r="D63" s="3" t="s">
        <v>43</v>
      </c>
      <c r="E63" s="4">
        <v>0.25714285714285712</v>
      </c>
    </row>
    <row r="64" spans="4:27" x14ac:dyDescent="0.3">
      <c r="D64" s="3" t="s">
        <v>48</v>
      </c>
      <c r="E64" s="4">
        <v>0.21428571428571427</v>
      </c>
    </row>
    <row r="65" spans="4:31" x14ac:dyDescent="0.3">
      <c r="D65" s="3" t="s">
        <v>16</v>
      </c>
      <c r="E65" s="4">
        <v>0.14285714285714285</v>
      </c>
      <c r="X65" s="21" t="s">
        <v>896</v>
      </c>
      <c r="Y65" s="21"/>
    </row>
    <row r="66" spans="4:31" x14ac:dyDescent="0.3">
      <c r="D66" s="3" t="s">
        <v>30</v>
      </c>
      <c r="E66" s="4">
        <v>7.1428571428571425E-2</v>
      </c>
    </row>
    <row r="67" spans="4:31" x14ac:dyDescent="0.3">
      <c r="D67" s="3" t="s">
        <v>862</v>
      </c>
      <c r="E67" s="4">
        <v>1</v>
      </c>
      <c r="X67" s="2" t="s">
        <v>891</v>
      </c>
      <c r="Y67" s="2" t="s">
        <v>888</v>
      </c>
    </row>
    <row r="68" spans="4:31" x14ac:dyDescent="0.3">
      <c r="X68" s="2" t="s">
        <v>861</v>
      </c>
      <c r="Y68" t="s">
        <v>30</v>
      </c>
      <c r="Z68" t="s">
        <v>24</v>
      </c>
      <c r="AA68" t="s">
        <v>16</v>
      </c>
      <c r="AB68" t="s">
        <v>48</v>
      </c>
      <c r="AC68" t="s">
        <v>39</v>
      </c>
      <c r="AD68" t="s">
        <v>43</v>
      </c>
      <c r="AE68" t="s">
        <v>862</v>
      </c>
    </row>
    <row r="69" spans="4:31" x14ac:dyDescent="0.3">
      <c r="X69" s="3">
        <v>2</v>
      </c>
      <c r="Y69" s="1">
        <v>28000</v>
      </c>
      <c r="Z69" s="1">
        <v>25000</v>
      </c>
      <c r="AA69" s="1">
        <v>25333.333333333332</v>
      </c>
      <c r="AB69" s="1">
        <v>24666.666666666668</v>
      </c>
      <c r="AC69" s="1"/>
      <c r="AD69" s="1">
        <v>29333.333333333332</v>
      </c>
      <c r="AE69" s="1">
        <v>26058.823529411766</v>
      </c>
    </row>
    <row r="70" spans="4:31" x14ac:dyDescent="0.3">
      <c r="X70" s="3">
        <v>3</v>
      </c>
      <c r="Y70" s="1">
        <v>42666.666666666664</v>
      </c>
      <c r="Z70" s="1">
        <v>41736.84210526316</v>
      </c>
      <c r="AA70" s="1">
        <v>46538.461538461539</v>
      </c>
      <c r="AB70" s="1">
        <v>52888.888888888891</v>
      </c>
      <c r="AC70" s="1"/>
      <c r="AD70" s="1">
        <v>48764.705882352944</v>
      </c>
      <c r="AE70" s="1">
        <v>46409.836065573771</v>
      </c>
    </row>
    <row r="71" spans="4:31" x14ac:dyDescent="0.3">
      <c r="X71" s="3">
        <v>4</v>
      </c>
      <c r="Y71" s="1">
        <v>81407.407407407401</v>
      </c>
      <c r="Z71" s="1">
        <v>75294.117647058825</v>
      </c>
      <c r="AA71" s="1">
        <v>76068.965517241377</v>
      </c>
      <c r="AB71" s="1">
        <v>79680</v>
      </c>
      <c r="AC71" s="1">
        <v>81800</v>
      </c>
      <c r="AD71" s="1">
        <v>75888.888888888891</v>
      </c>
      <c r="AE71" s="1">
        <v>78389.312977099238</v>
      </c>
    </row>
    <row r="72" spans="4:31" x14ac:dyDescent="0.3">
      <c r="X72" s="3">
        <v>5</v>
      </c>
      <c r="Y72" s="1">
        <v>118368.42105263157</v>
      </c>
      <c r="Z72" s="1">
        <v>103750</v>
      </c>
      <c r="AA72" s="1">
        <v>124666.66666666667</v>
      </c>
      <c r="AB72" s="1">
        <v>118666.66666666667</v>
      </c>
      <c r="AC72" s="1">
        <v>144285.71428571429</v>
      </c>
      <c r="AD72" s="1">
        <v>106363.63636363637</v>
      </c>
      <c r="AE72" s="1">
        <v>124021.97802197802</v>
      </c>
    </row>
    <row r="73" spans="4:31" x14ac:dyDescent="0.3">
      <c r="X73" s="3" t="s">
        <v>862</v>
      </c>
      <c r="Y73" s="1">
        <v>90803.921568627455</v>
      </c>
      <c r="Z73" s="1">
        <v>66529.411764705888</v>
      </c>
      <c r="AA73" s="1">
        <v>79283.333333333328</v>
      </c>
      <c r="AB73" s="1">
        <v>72347.826086956527</v>
      </c>
      <c r="AC73" s="1">
        <v>122488.37209302325</v>
      </c>
      <c r="AD73" s="1">
        <v>70469.387755102041</v>
      </c>
      <c r="AE73" s="1">
        <v>82763.333333333328</v>
      </c>
    </row>
    <row r="75" spans="4:31" x14ac:dyDescent="0.3">
      <c r="AC75" s="2" t="s">
        <v>861</v>
      </c>
      <c r="AD75" t="s">
        <v>926</v>
      </c>
    </row>
    <row r="76" spans="4:31" x14ac:dyDescent="0.3">
      <c r="AC76" s="3" t="s">
        <v>30</v>
      </c>
      <c r="AD76" s="1">
        <v>4631000</v>
      </c>
    </row>
    <row r="77" spans="4:31" x14ac:dyDescent="0.3">
      <c r="Z77" t="s">
        <v>927</v>
      </c>
      <c r="AC77" s="3" t="s">
        <v>24</v>
      </c>
      <c r="AD77" s="1">
        <v>3393000</v>
      </c>
    </row>
    <row r="78" spans="4:31" x14ac:dyDescent="0.3">
      <c r="AC78" s="3" t="s">
        <v>16</v>
      </c>
      <c r="AD78" s="1">
        <v>4757000</v>
      </c>
    </row>
    <row r="79" spans="4:31" x14ac:dyDescent="0.3">
      <c r="AC79" s="3" t="s">
        <v>48</v>
      </c>
      <c r="AD79" s="1">
        <v>3328000</v>
      </c>
    </row>
    <row r="80" spans="4:31" x14ac:dyDescent="0.3">
      <c r="AC80" s="3" t="s">
        <v>39</v>
      </c>
      <c r="AD80" s="1">
        <v>5267000</v>
      </c>
    </row>
    <row r="81" spans="29:30" x14ac:dyDescent="0.3">
      <c r="AC81" s="3" t="s">
        <v>43</v>
      </c>
      <c r="AD81" s="1">
        <v>3453000</v>
      </c>
    </row>
    <row r="82" spans="29:30" x14ac:dyDescent="0.3">
      <c r="AC82" s="3" t="s">
        <v>862</v>
      </c>
      <c r="AD82" s="1">
        <v>24829000</v>
      </c>
    </row>
  </sheetData>
  <mergeCells count="25">
    <mergeCell ref="A27:B28"/>
    <mergeCell ref="D27:E27"/>
    <mergeCell ref="D38:E38"/>
    <mergeCell ref="S44:T44"/>
    <mergeCell ref="X44:Z45"/>
    <mergeCell ref="X32:Z32"/>
    <mergeCell ref="AE3:AE6"/>
    <mergeCell ref="AG12:AI12"/>
    <mergeCell ref="P2:Q3"/>
    <mergeCell ref="AQ3:AR3"/>
    <mergeCell ref="D58:E59"/>
    <mergeCell ref="D49:E49"/>
    <mergeCell ref="AB5:AC7"/>
    <mergeCell ref="Z2:AA2"/>
    <mergeCell ref="V12:X12"/>
    <mergeCell ref="Z57:AA58"/>
    <mergeCell ref="AG25:AH25"/>
    <mergeCell ref="S33:T33"/>
    <mergeCell ref="X65:Y65"/>
    <mergeCell ref="Z21:AD21"/>
    <mergeCell ref="G38:G40"/>
    <mergeCell ref="L2:N3"/>
    <mergeCell ref="H2:I3"/>
    <mergeCell ref="R2:S3"/>
    <mergeCell ref="X51:Z52"/>
  </mergeCells>
  <conditionalFormatting pivot="1" sqref="AH16:AN22">
    <cfRule type="colorScale" priority="8">
      <colorScale>
        <cfvo type="min"/>
        <cfvo type="percentile" val="50"/>
        <cfvo type="max"/>
        <color rgb="FF63BE7B"/>
        <color rgb="FFFCFCFF"/>
        <color rgb="FFF8696B"/>
      </colorScale>
    </cfRule>
  </conditionalFormatting>
  <conditionalFormatting pivot="1" sqref="X57:Y62">
    <cfRule type="cellIs" dxfId="2" priority="7" operator="lessThan">
      <formula>0.3</formula>
    </cfRule>
  </conditionalFormatting>
  <conditionalFormatting pivot="1" sqref="F41:F46">
    <cfRule type="cellIs" dxfId="1" priority="5" operator="greaterThan">
      <formula>0.1</formula>
    </cfRule>
  </conditionalFormatting>
  <conditionalFormatting pivot="1" sqref="F41:F46">
    <cfRule type="cellIs" dxfId="0" priority="4" operator="lessThan">
      <formula>0.05</formula>
    </cfRule>
  </conditionalFormatting>
  <conditionalFormatting pivot="1" sqref="AH37:AN43">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30"/>
  <drawing r:id="rId31"/>
  <extLst>
    <ext xmlns:x14="http://schemas.microsoft.com/office/spreadsheetml/2009/9/main" uri="{A8765BA9-456A-4dab-B4F3-ACF838C121DE}">
      <x14:slicerList>
        <x14:slicer r:id="rId3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97A43-4B00-47A0-B836-89A188F92A9A}">
  <dimension ref="A6:A10"/>
  <sheetViews>
    <sheetView showGridLines="0" showRowColHeaders="0" zoomScaleNormal="100" workbookViewId="0">
      <selection activeCell="R29" sqref="R29"/>
    </sheetView>
  </sheetViews>
  <sheetFormatPr defaultRowHeight="14.4" x14ac:dyDescent="0.3"/>
  <cols>
    <col min="1" max="1" width="9.6640625" customWidth="1"/>
  </cols>
  <sheetData>
    <row r="6" spans="1:1" x14ac:dyDescent="0.3">
      <c r="A6" s="16">
        <f>GETPIVOTDATA("EmployeeID",Pivot!$B$3)</f>
        <v>300</v>
      </c>
    </row>
    <row r="7" spans="1:1" x14ac:dyDescent="0.3">
      <c r="A7" s="17">
        <f>GETPIVOTDATA("Attrition",Pivot!$B$6,"Attrition","Yes")</f>
        <v>0.23333333333333334</v>
      </c>
    </row>
    <row r="8" spans="1:1" x14ac:dyDescent="0.3">
      <c r="A8" s="18">
        <f>GETPIVOTDATA("Salary",Pivot!$B$10)</f>
        <v>82763.333333333328</v>
      </c>
    </row>
    <row r="9" spans="1:1" x14ac:dyDescent="0.3">
      <c r="A9" s="19">
        <f>GETPIVOTDATA("PerformanceRating",Pivot!$B$13)</f>
        <v>3.9866666666666668</v>
      </c>
    </row>
    <row r="10" spans="1:1" x14ac:dyDescent="0.3">
      <c r="A10" s="17">
        <f>GETPIVOTDATA("Gender",Pivot!$B$17)</f>
        <v>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705B-8ACF-4D0D-AEBD-40DE6AD942BE}">
  <dimension ref="A6:A10"/>
  <sheetViews>
    <sheetView showGridLines="0" topLeftCell="A4" workbookViewId="0"/>
  </sheetViews>
  <sheetFormatPr defaultRowHeight="14.4" x14ac:dyDescent="0.3"/>
  <sheetData>
    <row r="6" spans="1:1" x14ac:dyDescent="0.3">
      <c r="A6" s="16">
        <f>GETPIVOTDATA("EmployeeID",Pivot!$B$3)</f>
        <v>300</v>
      </c>
    </row>
    <row r="7" spans="1:1" x14ac:dyDescent="0.3">
      <c r="A7" s="17">
        <f>GETPIVOTDATA("Attrition",Pivot!$B$6,"Attrition","Yes")</f>
        <v>0.23333333333333334</v>
      </c>
    </row>
    <row r="8" spans="1:1" x14ac:dyDescent="0.3">
      <c r="A8" s="18">
        <f>GETPIVOTDATA("Salary",Pivot!$B$10)</f>
        <v>82763.333333333328</v>
      </c>
    </row>
    <row r="9" spans="1:1" x14ac:dyDescent="0.3">
      <c r="A9" s="19">
        <f>GETPIVOTDATA("PerformanceRating",Pivot!$B$13)</f>
        <v>3.9866666666666668</v>
      </c>
    </row>
    <row r="10" spans="1:1" x14ac:dyDescent="0.3">
      <c r="A10" s="17">
        <f>GETPIVOTDATA("Gender",Pivot!$B$17)</f>
        <v>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2892B-E607-4F29-9C75-99298A43F6A7}">
  <dimension ref="A6:A10"/>
  <sheetViews>
    <sheetView showGridLines="0" topLeftCell="A3" workbookViewId="0"/>
  </sheetViews>
  <sheetFormatPr defaultRowHeight="14.4" x14ac:dyDescent="0.3"/>
  <sheetData>
    <row r="6" spans="1:1" x14ac:dyDescent="0.3">
      <c r="A6" s="16">
        <f>GETPIVOTDATA("EmployeeID",Pivot!$B$3)</f>
        <v>300</v>
      </c>
    </row>
    <row r="7" spans="1:1" x14ac:dyDescent="0.3">
      <c r="A7" s="17">
        <f>GETPIVOTDATA("Attrition",Pivot!$B$6,"Attrition","Yes")</f>
        <v>0.23333333333333334</v>
      </c>
    </row>
    <row r="8" spans="1:1" x14ac:dyDescent="0.3">
      <c r="A8" s="18">
        <f>GETPIVOTDATA("Salary",Pivot!$B$10)</f>
        <v>82763.333333333328</v>
      </c>
    </row>
    <row r="9" spans="1:1" x14ac:dyDescent="0.3">
      <c r="A9" s="19">
        <f>GETPIVOTDATA("PerformanceRating",Pivot!$B$13)</f>
        <v>3.9866666666666668</v>
      </c>
    </row>
    <row r="10" spans="1:1" x14ac:dyDescent="0.3">
      <c r="A10" s="17">
        <f>GETPIVOTDATA("Gender",Pivot!$B$17)</f>
        <v>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012A2-5D5C-4D77-8B51-43D073627424}">
  <dimension ref="A6:A10"/>
  <sheetViews>
    <sheetView showGridLines="0" workbookViewId="0"/>
  </sheetViews>
  <sheetFormatPr defaultRowHeight="14.4" x14ac:dyDescent="0.3"/>
  <sheetData>
    <row r="6" spans="1:1" x14ac:dyDescent="0.3">
      <c r="A6" s="16">
        <f>GETPIVOTDATA("EmployeeID",Pivot!$B$3)</f>
        <v>300</v>
      </c>
    </row>
    <row r="7" spans="1:1" x14ac:dyDescent="0.3">
      <c r="A7" s="17">
        <f>GETPIVOTDATA("Attrition",Pivot!$B$6,"Attrition","Yes")</f>
        <v>0.23333333333333334</v>
      </c>
    </row>
    <row r="8" spans="1:1" x14ac:dyDescent="0.3">
      <c r="A8" s="18">
        <f>GETPIVOTDATA("Salary",Pivot!$B$10)</f>
        <v>82763.333333333328</v>
      </c>
    </row>
    <row r="9" spans="1:1" x14ac:dyDescent="0.3">
      <c r="A9" s="19">
        <f>GETPIVOTDATA("PerformanceRating",Pivot!$B$13)</f>
        <v>3.9866666666666668</v>
      </c>
    </row>
    <row r="10" spans="1:1" x14ac:dyDescent="0.3">
      <c r="A10" s="17">
        <f>GETPIVOTDATA("Gender",Pivot!$B$17)</f>
        <v>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5DEB4-3F30-470F-8731-3616B5149B08}">
  <dimension ref="A6:A10"/>
  <sheetViews>
    <sheetView showGridLines="0" workbookViewId="0"/>
  </sheetViews>
  <sheetFormatPr defaultRowHeight="14.4" x14ac:dyDescent="0.3"/>
  <sheetData>
    <row r="6" spans="1:1" x14ac:dyDescent="0.3">
      <c r="A6" s="16">
        <f>GETPIVOTDATA("EmployeeID",Pivot!$B$3)</f>
        <v>300</v>
      </c>
    </row>
    <row r="7" spans="1:1" x14ac:dyDescent="0.3">
      <c r="A7" s="17">
        <f>GETPIVOTDATA("Attrition",Pivot!$B$6,"Attrition","Yes")</f>
        <v>0.23333333333333334</v>
      </c>
    </row>
    <row r="8" spans="1:1" x14ac:dyDescent="0.3">
      <c r="A8" s="18">
        <f>GETPIVOTDATA("Salary",Pivot!$B$10)</f>
        <v>82763.333333333328</v>
      </c>
    </row>
    <row r="9" spans="1:1" x14ac:dyDescent="0.3">
      <c r="A9" s="19">
        <f>GETPIVOTDATA("PerformanceRating",Pivot!$B$13)</f>
        <v>3.9866666666666668</v>
      </c>
    </row>
    <row r="10" spans="1:1" x14ac:dyDescent="0.3">
      <c r="A10" s="17">
        <f>GETPIVOTDATA("Gender",Pivot!$B$17)</f>
        <v>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9C58B-BB89-4C46-BB87-7D14FD7D89A8}">
  <dimension ref="A6:A10"/>
  <sheetViews>
    <sheetView showGridLines="0" workbookViewId="0"/>
  </sheetViews>
  <sheetFormatPr defaultRowHeight="14.4" x14ac:dyDescent="0.3"/>
  <sheetData>
    <row r="6" spans="1:1" x14ac:dyDescent="0.3">
      <c r="A6" s="16">
        <f>GETPIVOTDATA("EmployeeID",Pivot!$B$3)</f>
        <v>300</v>
      </c>
    </row>
    <row r="7" spans="1:1" x14ac:dyDescent="0.3">
      <c r="A7" s="17">
        <f>GETPIVOTDATA("Attrition",Pivot!$B$6,"Attrition","Yes")</f>
        <v>0.23333333333333334</v>
      </c>
    </row>
    <row r="8" spans="1:1" x14ac:dyDescent="0.3">
      <c r="A8" s="18">
        <f>GETPIVOTDATA("Salary",Pivot!$B$10)</f>
        <v>82763.333333333328</v>
      </c>
    </row>
    <row r="9" spans="1:1" x14ac:dyDescent="0.3">
      <c r="A9" s="19">
        <f>GETPIVOTDATA("PerformanceRating",Pivot!$B$13)</f>
        <v>3.9866666666666668</v>
      </c>
    </row>
    <row r="10" spans="1:1" x14ac:dyDescent="0.3">
      <c r="A10" s="17">
        <f>GETPIVOTDATA("Gender",Pivot!$B$17)</f>
        <v>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HR_datas</vt:lpstr>
      <vt:lpstr>Pivot</vt:lpstr>
      <vt:lpstr>Main_Dashboard</vt:lpstr>
      <vt:lpstr>Head_count</vt:lpstr>
      <vt:lpstr>Attrition_rate</vt:lpstr>
      <vt:lpstr>Salary</vt:lpstr>
      <vt:lpstr>Performance</vt:lpstr>
      <vt:lpstr>Diversity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dc:creator>
  <cp:lastModifiedBy>Vidhu Madhan</cp:lastModifiedBy>
  <dcterms:created xsi:type="dcterms:W3CDTF">2026-01-09T06:36:21Z</dcterms:created>
  <dcterms:modified xsi:type="dcterms:W3CDTF">2026-06-21T09:30:43Z</dcterms:modified>
</cp:coreProperties>
</file>