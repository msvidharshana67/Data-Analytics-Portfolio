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6.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slicers/slicer7.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slicers/slicer8.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vidhu\Desktop\DA - Projects\Vidharshana Project\Excel project files\"/>
    </mc:Choice>
  </mc:AlternateContent>
  <xr:revisionPtr revIDLastSave="0" documentId="13_ncr:1_{67418B01-E021-4650-8203-C8FB382194B3}" xr6:coauthVersionLast="47" xr6:coauthVersionMax="47" xr10:uidLastSave="{00000000-0000-0000-0000-000000000000}"/>
  <bookViews>
    <workbookView xWindow="-108" yWindow="-108" windowWidth="23256" windowHeight="12456" xr2:uid="{00000000-000D-0000-FFFF-FFFF00000000}"/>
  </bookViews>
  <sheets>
    <sheet name="Data" sheetId="1" r:id="rId1"/>
    <sheet name="Pivots" sheetId="2" r:id="rId2"/>
    <sheet name="Main_Dash" sheetId="3" r:id="rId3"/>
    <sheet name="Rev" sheetId="4" r:id="rId4"/>
    <sheet name="Exp" sheetId="5" r:id="rId5"/>
    <sheet name="Profit" sheetId="6" r:id="rId6"/>
    <sheet name="budget" sheetId="8" r:id="rId7"/>
    <sheet name="cash_flow" sheetId="7" r:id="rId8"/>
    <sheet name="cust" sheetId="9" r:id="rId9"/>
  </sheets>
  <definedNames>
    <definedName name="Slicer_BusinessUnit">#N/A</definedName>
    <definedName name="Slicer_CustomerType">#N/A</definedName>
    <definedName name="Slicer_Department">#N/A</definedName>
    <definedName name="Slicer_Month">#N/A</definedName>
    <definedName name="Slicer_Region">#N/A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3" l="1"/>
  <c r="E10" i="3"/>
  <c r="E9" i="3"/>
  <c r="E13" i="3"/>
  <c r="E12" i="3"/>
  <c r="E11" i="3"/>
</calcChain>
</file>

<file path=xl/sharedStrings.xml><?xml version="1.0" encoding="utf-8"?>
<sst xmlns="http://schemas.openxmlformats.org/spreadsheetml/2006/main" count="1230" uniqueCount="190">
  <si>
    <t>Date</t>
  </si>
  <si>
    <t>Year</t>
  </si>
  <si>
    <t>Month</t>
  </si>
  <si>
    <t>Region</t>
  </si>
  <si>
    <t>Department</t>
  </si>
  <si>
    <t>PaymentMode</t>
  </si>
  <si>
    <t>Jan</t>
  </si>
  <si>
    <t>North</t>
  </si>
  <si>
    <t>Sales</t>
  </si>
  <si>
    <t>Credit Card</t>
  </si>
  <si>
    <t>South</t>
  </si>
  <si>
    <t>Marketing</t>
  </si>
  <si>
    <t>Expense</t>
  </si>
  <si>
    <t>UPI</t>
  </si>
  <si>
    <t>East</t>
  </si>
  <si>
    <t>HR</t>
  </si>
  <si>
    <t>Bank Transfer</t>
  </si>
  <si>
    <t>West</t>
  </si>
  <si>
    <t>Cash</t>
  </si>
  <si>
    <t>Finance</t>
  </si>
  <si>
    <t>IT</t>
  </si>
  <si>
    <t>Operations</t>
  </si>
  <si>
    <t>Logistics</t>
  </si>
  <si>
    <t>Recruitment</t>
  </si>
  <si>
    <t>Interest Income</t>
  </si>
  <si>
    <t>Maintenance</t>
  </si>
  <si>
    <t>Cloud Services</t>
  </si>
  <si>
    <t>Audit Fees</t>
  </si>
  <si>
    <t>Training</t>
  </si>
  <si>
    <t>BusinessUnit</t>
  </si>
  <si>
    <t>RevenueStream</t>
  </si>
  <si>
    <t>ExpenseType</t>
  </si>
  <si>
    <t>CustomerType</t>
  </si>
  <si>
    <t>Revenue</t>
  </si>
  <si>
    <t>GrossProfit</t>
  </si>
  <si>
    <t>TaxAmount</t>
  </si>
  <si>
    <t>NetProfit</t>
  </si>
  <si>
    <t>Budget</t>
  </si>
  <si>
    <t>Variance</t>
  </si>
  <si>
    <t>CashFlow</t>
  </si>
  <si>
    <t>Retail</t>
  </si>
  <si>
    <t>Product Sales</t>
  </si>
  <si>
    <t>B2C</t>
  </si>
  <si>
    <t>Corporate</t>
  </si>
  <si>
    <t>Service Revenue</t>
  </si>
  <si>
    <t>Advertising</t>
  </si>
  <si>
    <t>B2B</t>
  </si>
  <si>
    <t>Technology</t>
  </si>
  <si>
    <t>Subscription</t>
  </si>
  <si>
    <t>Accounts</t>
  </si>
  <si>
    <t>Compliance</t>
  </si>
  <si>
    <t>Warehouse</t>
  </si>
  <si>
    <t>Consulting Fees</t>
  </si>
  <si>
    <t>SaaS Revenue</t>
  </si>
  <si>
    <t>Customer Support</t>
  </si>
  <si>
    <t>Campaign Revenue</t>
  </si>
  <si>
    <t>Promotions</t>
  </si>
  <si>
    <t>Investment Income</t>
  </si>
  <si>
    <t>License Sales</t>
  </si>
  <si>
    <t>Security</t>
  </si>
  <si>
    <t>Feb</t>
  </si>
  <si>
    <t>Transport</t>
  </si>
  <si>
    <t>Digital Ads</t>
  </si>
  <si>
    <t>Infrastructure</t>
  </si>
  <si>
    <t>Legal</t>
  </si>
  <si>
    <t>Inventory</t>
  </si>
  <si>
    <t>Customer Success</t>
  </si>
  <si>
    <t>Branding</t>
  </si>
  <si>
    <t>Consulting</t>
  </si>
  <si>
    <t>Mar</t>
  </si>
  <si>
    <t>Delivery</t>
  </si>
  <si>
    <t>Events</t>
  </si>
  <si>
    <t>Data Center</t>
  </si>
  <si>
    <t>Tax Advisory</t>
  </si>
  <si>
    <t>Quality Control</t>
  </si>
  <si>
    <t>Employee Welfare</t>
  </si>
  <si>
    <t>Risk Management</t>
  </si>
  <si>
    <t>Upgrades</t>
  </si>
  <si>
    <t>Returns</t>
  </si>
  <si>
    <t>Apr</t>
  </si>
  <si>
    <t>Media Spend</t>
  </si>
  <si>
    <t>Server Costs</t>
  </si>
  <si>
    <t>Packaging</t>
  </si>
  <si>
    <t>Campaigns</t>
  </si>
  <si>
    <t>Audit</t>
  </si>
  <si>
    <t>May</t>
  </si>
  <si>
    <t>Risk Advisory</t>
  </si>
  <si>
    <t>Cloud Hosting</t>
  </si>
  <si>
    <t>Tax Filing</t>
  </si>
  <si>
    <t>Jun</t>
  </si>
  <si>
    <t>Jul</t>
  </si>
  <si>
    <t>PR Spend</t>
  </si>
  <si>
    <t>Distribution</t>
  </si>
  <si>
    <t>Reporting</t>
  </si>
  <si>
    <t>Warehousing</t>
  </si>
  <si>
    <t>Aug</t>
  </si>
  <si>
    <t>Sep</t>
  </si>
  <si>
    <t>Oct</t>
  </si>
  <si>
    <t>Row Labels</t>
  </si>
  <si>
    <t>Grand Total</t>
  </si>
  <si>
    <t>Sum of Revenue</t>
  </si>
  <si>
    <t>Sum of Expense</t>
  </si>
  <si>
    <t>Revenue vs Expense</t>
  </si>
  <si>
    <t>md</t>
  </si>
  <si>
    <t>Sum of NetProfit</t>
  </si>
  <si>
    <t>Net Profit Trend  md</t>
  </si>
  <si>
    <t>Budget vs Actual  md</t>
  </si>
  <si>
    <t>Sum of Budget</t>
  </si>
  <si>
    <t>Cash Flow Trend   md</t>
  </si>
  <si>
    <t>Sum of CashFlow</t>
  </si>
  <si>
    <t>Customer Type Share md</t>
  </si>
  <si>
    <t>Column Labels</t>
  </si>
  <si>
    <t>Which region contributes the highest revenue over time?</t>
  </si>
  <si>
    <t>Regional Revenue Trend</t>
  </si>
  <si>
    <t>Line Chart</t>
  </si>
  <si>
    <t>Is revenue growth consistent across business units?</t>
  </si>
  <si>
    <t>Business Unit Revenue Growth</t>
  </si>
  <si>
    <t>Multi-Line Chart</t>
  </si>
  <si>
    <t>Which revenue stream generates maximum revenue?</t>
  </si>
  <si>
    <t>Revenue Contribution by Stream</t>
  </si>
  <si>
    <t>Column Chart</t>
  </si>
  <si>
    <t>How does revenue split between B2B and B2C customers?</t>
  </si>
  <si>
    <t>Customer Revenue Mix</t>
  </si>
  <si>
    <t>Donut Chart</t>
  </si>
  <si>
    <t>Revenue Analysis</t>
  </si>
  <si>
    <t>Expense Analysis</t>
  </si>
  <si>
    <t>Which expense type consumes the highest cost?</t>
  </si>
  <si>
    <t>Top Expense Drivers</t>
  </si>
  <si>
    <t>Bar Chart</t>
  </si>
  <si>
    <t>How do expenses trend month-wise?</t>
  </si>
  <si>
    <t>Monthly Expense Trend</t>
  </si>
  <si>
    <t>line chart</t>
  </si>
  <si>
    <t>Which department has the highest expenses?</t>
  </si>
  <si>
    <t>Department Expense Distribution</t>
  </si>
  <si>
    <t>column</t>
  </si>
  <si>
    <t>Are expense spikes aligned with revenue growth?</t>
  </si>
  <si>
    <t>Expense vs Revenue Comparison</t>
  </si>
  <si>
    <t>Clustered Column Chart</t>
  </si>
  <si>
    <t>Profitability Analysis</t>
  </si>
  <si>
    <t>Which month is most profitable?</t>
  </si>
  <si>
    <t>Monthly Net Profit Trend</t>
  </si>
  <si>
    <t>line</t>
  </si>
  <si>
    <t>Which region delivers the highest profit margin?</t>
  </si>
  <si>
    <t>Profit Margin by Region</t>
  </si>
  <si>
    <t>Average of NetProfit</t>
  </si>
  <si>
    <t>How efficiently is revenue converted into profit?</t>
  </si>
  <si>
    <t>bar</t>
  </si>
  <si>
    <t>Revenue to Profit Conversion</t>
  </si>
  <si>
    <t>Combo Chart (Column + Line)</t>
  </si>
  <si>
    <t>Are high revenues always linked to high profits?</t>
  </si>
  <si>
    <t>Revenue vs Profit by Region</t>
  </si>
  <si>
    <t>Budget Analysis</t>
  </si>
  <si>
    <t>How well is the organization meeting its budget targets?</t>
  </si>
  <si>
    <t>Budget vs Actual Performance</t>
  </si>
  <si>
    <t>Which departments exceed budget most frequently?</t>
  </si>
  <si>
    <t>Sum of Variance</t>
  </si>
  <si>
    <t>Department Budget Variance</t>
  </si>
  <si>
    <t>Is budgeting accuracy improving over time?</t>
  </si>
  <si>
    <t>Average of Variance</t>
  </si>
  <si>
    <t>Budget Accuracy Trend</t>
  </si>
  <si>
    <t>Which regions consistently underperform budget expectations?</t>
  </si>
  <si>
    <t>Regional Budget Performance</t>
  </si>
  <si>
    <t>Cash Flow Analysis</t>
  </si>
  <si>
    <t>Which payment mode provides the strongest cash flow?</t>
  </si>
  <si>
    <t>Cash Flow by Payment Mode</t>
  </si>
  <si>
    <t>How stable is cash flow month-over-month?</t>
  </si>
  <si>
    <t>Monthly Cash Flow Stability</t>
  </si>
  <si>
    <t>Are there months with strong profit but weak cash flow?</t>
  </si>
  <si>
    <t>Profit vs Cash Flow Analysis</t>
  </si>
  <si>
    <t>Combo Chart</t>
  </si>
  <si>
    <t>Which region faces liquidity risk?</t>
  </si>
  <si>
    <t>Regional Liquidity Overview</t>
  </si>
  <si>
    <t>Which customer type (B2B vs B2C) generates higher revenue over time?</t>
  </si>
  <si>
    <t>Customer type analysis</t>
  </si>
  <si>
    <t>Customer Type Revenue Trend</t>
  </si>
  <si>
    <t>How does profit contribution differ between B2B and B2C customers by region?</t>
  </si>
  <si>
    <t>Profit by Customer Type and Region</t>
  </si>
  <si>
    <t>Which customer type has higher average transaction value?</t>
  </si>
  <si>
    <t>Average of Revenue</t>
  </si>
  <si>
    <t>Average Revenue per Customer Type</t>
  </si>
  <si>
    <t>How does expense distribution vary between B2B and B2C customers?</t>
  </si>
  <si>
    <t>Expense Comparison by Customer Type</t>
  </si>
  <si>
    <t>kpi</t>
  </si>
  <si>
    <t>total rev.</t>
  </si>
  <si>
    <t>tota; exp.</t>
  </si>
  <si>
    <t>total net pro.</t>
  </si>
  <si>
    <t>total bud.</t>
  </si>
  <si>
    <t>Count of CustomerType</t>
  </si>
  <si>
    <t>total cash.</t>
  </si>
  <si>
    <t>total cust.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</si>
</sst>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 #,##0_ ;_ &quot;₹&quot;\ * \-#,##0_ ;_ &quot;₹&quot;\ * &quot;-&quot;_ ;_ @_ "/>
    <numFmt numFmtId="164" formatCode="_ &quot;₹&quot;\ * #,##0_ ;_ &quot;₹&quot;\ * \-#,##0_ ;_ &quot;₹&quot;\ * &quot;-&quot;??_ ;_ @_ "/>
    <numFmt numFmtId="165" formatCode="0.0%"/>
  </numFmts>
  <fonts count="3" x14ac:knownFonts="1">
    <font>
      <sz val="11"/>
      <color theme="1"/>
      <name val="Calibri"/>
      <family val="2"/>
      <scheme val="minor"/>
    </font>
    <font>
      <sz val="8"/>
      <name val="Calibri"/>
      <family val="2"/>
      <scheme val="minor"/>
    </font>
    <font>
      <sz val="10"/>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92D050"/>
        <bgColor indexed="64"/>
      </patternFill>
    </fill>
    <fill>
      <patternFill patternType="solid">
        <fgColor rgb="FF9933FF"/>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42" fontId="0" fillId="0" borderId="0" xfId="0" applyNumberFormat="1"/>
    <xf numFmtId="0" fontId="0" fillId="6" borderId="0" xfId="0" applyFill="1"/>
    <xf numFmtId="0" fontId="0" fillId="7" borderId="0" xfId="0" applyFill="1"/>
    <xf numFmtId="0" fontId="0" fillId="8" borderId="0" xfId="0" applyFill="1"/>
    <xf numFmtId="0" fontId="0" fillId="9" borderId="0" xfId="0" applyFill="1"/>
    <xf numFmtId="164" fontId="2" fillId="0" borderId="0" xfId="0" applyNumberFormat="1" applyFont="1"/>
    <xf numFmtId="0" fontId="2" fillId="0" borderId="0" xfId="0" applyFont="1"/>
    <xf numFmtId="9" fontId="0" fillId="0" borderId="0" xfId="0" applyNumberFormat="1"/>
    <xf numFmtId="165" fontId="0" fillId="0" borderId="0" xfId="0" applyNumberFormat="1"/>
    <xf numFmtId="0" fontId="0" fillId="7" borderId="0" xfId="0" applyFill="1" applyAlignment="1">
      <alignment horizontal="center" wrapText="1"/>
    </xf>
    <xf numFmtId="0" fontId="0" fillId="8" borderId="0" xfId="0" applyFill="1" applyAlignment="1">
      <alignment horizontal="center" wrapText="1"/>
    </xf>
    <xf numFmtId="0" fontId="0" fillId="6" borderId="0" xfId="0" applyFill="1" applyAlignment="1">
      <alignment horizontal="center" wrapText="1"/>
    </xf>
    <xf numFmtId="0" fontId="0" fillId="5" borderId="0" xfId="0" applyFill="1" applyAlignment="1">
      <alignment horizontal="center" wrapText="1"/>
    </xf>
    <xf numFmtId="0" fontId="0" fillId="4" borderId="0" xfId="0" applyFill="1" applyAlignment="1">
      <alignment horizontal="center" wrapText="1"/>
    </xf>
    <xf numFmtId="0" fontId="0" fillId="0" borderId="0" xfId="0" applyAlignment="1">
      <alignment horizontal="center" wrapText="1"/>
    </xf>
    <xf numFmtId="0" fontId="0" fillId="2" borderId="0" xfId="0" applyFill="1" applyAlignment="1">
      <alignment horizontal="center"/>
    </xf>
    <xf numFmtId="0" fontId="0" fillId="3" borderId="0" xfId="0" applyFill="1" applyAlignment="1">
      <alignment horizontal="center" wrapText="1"/>
    </xf>
  </cellXfs>
  <cellStyles count="1">
    <cellStyle name="Normal" xfId="0" builtinId="0"/>
  </cellStyles>
  <dxfs count="9">
    <dxf>
      <numFmt numFmtId="19" formatCode="dd/mm/yyyy"/>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s>
  <tableStyles count="0" defaultTableStyle="TableStyleMedium2" defaultPivotStyle="PivotStyleLight16"/>
  <colors>
    <mruColors>
      <color rgb="FFD211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[Finance_Dashboard.xlsx]Pivots!PivotTable1</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Revenue</a:t>
            </a:r>
            <a:r>
              <a:rPr lang="en-IN" b="1" baseline="0">
                <a:solidFill>
                  <a:srgbClr val="002060"/>
                </a:solidFill>
              </a:rPr>
              <a:t> Vs Expense</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c:f>
              <c:strCache>
                <c:ptCount val="1"/>
                <c:pt idx="0">
                  <c:v>Sum of Revenue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Pivots!$B$5</c:f>
              <c:strCache>
                <c:ptCount val="1"/>
                <c:pt idx="0">
                  <c:v>Total</c:v>
                </c:pt>
              </c:strCache>
            </c:strRef>
          </c:cat>
          <c:val>
            <c:numRef>
              <c:f>Pivots!$B$5</c:f>
              <c:numCache>
                <c:formatCode>_("₹"* #,##0_);_("₹"* \(#,##0\);_("₹"* "-"_);_(@_)</c:formatCode>
                <c:ptCount val="1"/>
                <c:pt idx="0">
                  <c:v>9949000</c:v>
                </c:pt>
              </c:numCache>
            </c:numRef>
          </c:val>
          <c:extLst>
            <c:ext xmlns:c16="http://schemas.microsoft.com/office/drawing/2014/chart" uri="{C3380CC4-5D6E-409C-BE32-E72D297353CC}">
              <c16:uniqueId val="{00000000-E4CE-49DB-9E3C-8A7B149564FD}"/>
            </c:ext>
          </c:extLst>
        </c:ser>
        <c:ser>
          <c:idx val="1"/>
          <c:order val="1"/>
          <c:tx>
            <c:strRef>
              <c:f>Pivots!$C$4</c:f>
              <c:strCache>
                <c:ptCount val="1"/>
                <c:pt idx="0">
                  <c:v>Sum of Expense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Pivots!$B$5</c:f>
              <c:strCache>
                <c:ptCount val="1"/>
                <c:pt idx="0">
                  <c:v>Total</c:v>
                </c:pt>
              </c:strCache>
            </c:strRef>
          </c:cat>
          <c:val>
            <c:numRef>
              <c:f>Pivots!$C$5</c:f>
              <c:numCache>
                <c:formatCode>_("₹"* #,##0_);_("₹"* \(#,##0\);_("₹"* "-"_);_(@_)</c:formatCode>
                <c:ptCount val="1"/>
                <c:pt idx="0">
                  <c:v>4602000</c:v>
                </c:pt>
              </c:numCache>
            </c:numRef>
          </c:val>
          <c:extLst>
            <c:ext xmlns:c16="http://schemas.microsoft.com/office/drawing/2014/chart" uri="{C3380CC4-5D6E-409C-BE32-E72D297353CC}">
              <c16:uniqueId val="{00000001-E4CE-49DB-9E3C-8A7B149564FD}"/>
            </c:ext>
          </c:extLst>
        </c:ser>
        <c:dLbls>
          <c:dLblPos val="outEnd"/>
          <c:showLegendKey val="0"/>
          <c:showVal val="1"/>
          <c:showCatName val="0"/>
          <c:showSerName val="0"/>
          <c:showPercent val="0"/>
          <c:showBubbleSize val="0"/>
        </c:dLbls>
        <c:gapWidth val="219"/>
        <c:overlap val="-27"/>
        <c:axId val="1931585328"/>
        <c:axId val="40034720"/>
      </c:barChart>
      <c:catAx>
        <c:axId val="1931585328"/>
        <c:scaling>
          <c:orientation val="minMax"/>
        </c:scaling>
        <c:delete val="1"/>
        <c:axPos val="b"/>
        <c:numFmt formatCode="General" sourceLinked="1"/>
        <c:majorTickMark val="none"/>
        <c:minorTickMark val="none"/>
        <c:tickLblPos val="nextTo"/>
        <c:crossAx val="40034720"/>
        <c:crosses val="autoZero"/>
        <c:auto val="1"/>
        <c:lblAlgn val="ctr"/>
        <c:lblOffset val="100"/>
        <c:noMultiLvlLbl val="0"/>
      </c:catAx>
      <c:valAx>
        <c:axId val="40034720"/>
        <c:scaling>
          <c:orientation val="minMax"/>
        </c:scaling>
        <c:delete val="1"/>
        <c:axPos val="l"/>
        <c:numFmt formatCode="_(&quot;₹&quot;* #,##0_);_(&quot;₹&quot;* \(#,##0\);_(&quot;₹&quot;* &quot;-&quot;_);_(@_)" sourceLinked="1"/>
        <c:majorTickMark val="none"/>
        <c:minorTickMark val="none"/>
        <c:tickLblPos val="nextTo"/>
        <c:crossAx val="1931585328"/>
        <c:crosses val="autoZero"/>
        <c:crossBetween val="between"/>
      </c:valAx>
      <c:spPr>
        <a:noFill/>
        <a:ln>
          <a:noFill/>
        </a:ln>
        <a:effectLst/>
      </c:spPr>
    </c:plotArea>
    <c:legend>
      <c:legendPos val="r"/>
      <c:layout>
        <c:manualLayout>
          <c:xMode val="edge"/>
          <c:yMode val="edge"/>
          <c:x val="0.67367752161173755"/>
          <c:y val="0.11355569071611353"/>
          <c:w val="0.27830770461171578"/>
          <c:h val="9.39463777883714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a:solidFill>
                  <a:srgbClr val="002060"/>
                </a:solidFill>
              </a:rPr>
              <a:t>Net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Pivots!$B$9</c:f>
              <c:strCache>
                <c:ptCount val="1"/>
                <c:pt idx="0">
                  <c:v>Total</c:v>
                </c:pt>
              </c:strCache>
            </c:strRef>
          </c:cat>
          <c:val>
            <c:numRef>
              <c:f>Pivots!$B$9</c:f>
              <c:numCache>
                <c:formatCode>_("₹"* #,##0_);_("₹"* \(#,##0\);_("₹"* "-"_);_(@_)</c:formatCode>
                <c:ptCount val="1"/>
                <c:pt idx="0">
                  <c:v>4544950</c:v>
                </c:pt>
              </c:numCache>
            </c:numRef>
          </c:val>
          <c:extLst>
            <c:ext xmlns:c16="http://schemas.microsoft.com/office/drawing/2014/chart" uri="{C3380CC4-5D6E-409C-BE32-E72D297353CC}">
              <c16:uniqueId val="{00000000-5C0D-469C-BD63-95ABD1C21FF9}"/>
            </c:ext>
          </c:extLst>
        </c:ser>
        <c:dLbls>
          <c:dLblPos val="outEnd"/>
          <c:showLegendKey val="0"/>
          <c:showVal val="1"/>
          <c:showCatName val="0"/>
          <c:showSerName val="0"/>
          <c:showPercent val="0"/>
          <c:showBubbleSize val="0"/>
        </c:dLbls>
        <c:gapWidth val="100"/>
        <c:overlap val="-24"/>
        <c:axId val="33880240"/>
        <c:axId val="33881200"/>
      </c:barChart>
      <c:catAx>
        <c:axId val="33880240"/>
        <c:scaling>
          <c:orientation val="minMax"/>
        </c:scaling>
        <c:delete val="1"/>
        <c:axPos val="b"/>
        <c:numFmt formatCode="General" sourceLinked="1"/>
        <c:majorTickMark val="none"/>
        <c:minorTickMark val="none"/>
        <c:tickLblPos val="nextTo"/>
        <c:crossAx val="33881200"/>
        <c:crosses val="autoZero"/>
        <c:auto val="1"/>
        <c:lblAlgn val="ctr"/>
        <c:lblOffset val="100"/>
        <c:noMultiLvlLbl val="0"/>
      </c:catAx>
      <c:valAx>
        <c:axId val="33881200"/>
        <c:scaling>
          <c:orientation val="minMax"/>
        </c:scaling>
        <c:delete val="1"/>
        <c:axPos val="l"/>
        <c:numFmt formatCode="_(&quot;₹&quot;* #,##0_);_(&quot;₹&quot;* \(#,##0\);_(&quot;₹&quot;* &quot;-&quot;_);_(@_)" sourceLinked="1"/>
        <c:majorTickMark val="none"/>
        <c:minorTickMark val="none"/>
        <c:tickLblPos val="nextTo"/>
        <c:crossAx val="3388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[Finance_Dashboard.xlsx]Pivots!PivotTable4</c:name>
    <c:fmtId val="3"/>
  </c:pivotSource>
  <c:chart>
    <c:title>
      <c:tx>
        <c:rich>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r>
              <a:rPr lang="en-US" sz="1600">
                <a:solidFill>
                  <a:srgbClr val="002060"/>
                </a:solidFill>
              </a:rPr>
              <a:t>cash</a:t>
            </a:r>
            <a:r>
              <a:rPr lang="en-US" sz="1600" baseline="0">
                <a:solidFill>
                  <a:srgbClr val="002060"/>
                </a:solidFill>
              </a:rPr>
              <a:t> flow trend</a:t>
            </a:r>
            <a:endParaRPr lang="en-US" sz="16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Pivots!$B$16</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Pivots!$B$17</c:f>
              <c:strCache>
                <c:ptCount val="1"/>
                <c:pt idx="0">
                  <c:v>Total</c:v>
                </c:pt>
              </c:strCache>
            </c:strRef>
          </c:cat>
          <c:val>
            <c:numRef>
              <c:f>Pivots!$B$17</c:f>
              <c:numCache>
                <c:formatCode>_("₹"* #,##0_);_("₹"* \(#,##0\);_("₹"* "-"_);_(@_)</c:formatCode>
                <c:ptCount val="1"/>
                <c:pt idx="0">
                  <c:v>4544950</c:v>
                </c:pt>
              </c:numCache>
            </c:numRef>
          </c:val>
          <c:extLst>
            <c:ext xmlns:c16="http://schemas.microsoft.com/office/drawing/2014/chart" uri="{C3380CC4-5D6E-409C-BE32-E72D297353CC}">
              <c16:uniqueId val="{00000000-E06F-4EEC-8BF9-521110102B66}"/>
            </c:ext>
          </c:extLst>
        </c:ser>
        <c:dLbls>
          <c:dLblPos val="outEnd"/>
          <c:showLegendKey val="0"/>
          <c:showVal val="1"/>
          <c:showCatName val="0"/>
          <c:showSerName val="0"/>
          <c:showPercent val="0"/>
          <c:showBubbleSize val="0"/>
        </c:dLbls>
        <c:gapWidth val="326"/>
        <c:overlap val="-58"/>
        <c:axId val="40035200"/>
        <c:axId val="40036640"/>
      </c:barChart>
      <c:catAx>
        <c:axId val="40035200"/>
        <c:scaling>
          <c:orientation val="minMax"/>
        </c:scaling>
        <c:delete val="1"/>
        <c:axPos val="l"/>
        <c:numFmt formatCode="General" sourceLinked="1"/>
        <c:majorTickMark val="none"/>
        <c:minorTickMark val="none"/>
        <c:tickLblPos val="nextTo"/>
        <c:crossAx val="40036640"/>
        <c:crosses val="autoZero"/>
        <c:auto val="1"/>
        <c:lblAlgn val="ctr"/>
        <c:lblOffset val="100"/>
        <c:noMultiLvlLbl val="0"/>
      </c:catAx>
      <c:valAx>
        <c:axId val="40036640"/>
        <c:scaling>
          <c:orientation val="minMax"/>
        </c:scaling>
        <c:delete val="1"/>
        <c:axPos val="b"/>
        <c:numFmt formatCode="_(&quot;₹&quot;* #,##0_);_(&quot;₹&quot;* \(#,##0\);_(&quot;₹&quot;* &quot;-&quot;_);_(@_)" sourceLinked="1"/>
        <c:majorTickMark val="none"/>
        <c:minorTickMark val="none"/>
        <c:tickLblPos val="nextTo"/>
        <c:crossAx val="4003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[Finance_Dashboard.xlsx]Pivots!PivotTable3</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Budget</a:t>
            </a:r>
            <a:r>
              <a:rPr lang="en-IN" b="1" baseline="0">
                <a:solidFill>
                  <a:srgbClr val="002060"/>
                </a:solidFill>
              </a:rPr>
              <a:t> Vs Actual</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76000"/>
            </a:schemeClr>
          </a:solidFill>
          <a:ln>
            <a:noFill/>
          </a:ln>
          <a:effectLst/>
          <a:sp3d/>
        </c:spPr>
        <c:dLbl>
          <c:idx val="0"/>
          <c:layout>
            <c:manualLayout>
              <c:x val="1.5594541910331348E-2"/>
              <c:y val="-3.2388663967611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378167641325533E-2"/>
          <c:y val="0.173225371120108"/>
          <c:w val="0.59706896287086919"/>
          <c:h val="0.74040485829959513"/>
        </c:manualLayout>
      </c:layout>
      <c:bar3DChart>
        <c:barDir val="col"/>
        <c:grouping val="clustered"/>
        <c:varyColors val="0"/>
        <c:ser>
          <c:idx val="0"/>
          <c:order val="0"/>
          <c:tx>
            <c:strRef>
              <c:f>Pivots!$B$12</c:f>
              <c:strCache>
                <c:ptCount val="1"/>
                <c:pt idx="0">
                  <c:v>Sum of Budget</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Pivots!$B$13</c:f>
              <c:strCache>
                <c:ptCount val="1"/>
                <c:pt idx="0">
                  <c:v>Total</c:v>
                </c:pt>
              </c:strCache>
            </c:strRef>
          </c:cat>
          <c:val>
            <c:numRef>
              <c:f>Pivots!$B$13</c:f>
              <c:numCache>
                <c:formatCode>_("₹"* #,##0_);_("₹"* \(#,##0\);_("₹"* "-"_);_(@_)</c:formatCode>
                <c:ptCount val="1"/>
                <c:pt idx="0">
                  <c:v>9734000</c:v>
                </c:pt>
              </c:numCache>
            </c:numRef>
          </c:val>
          <c:extLst>
            <c:ext xmlns:c16="http://schemas.microsoft.com/office/drawing/2014/chart" uri="{C3380CC4-5D6E-409C-BE32-E72D297353CC}">
              <c16:uniqueId val="{00000000-0777-433B-AFD8-1C244982CC79}"/>
            </c:ext>
          </c:extLst>
        </c:ser>
        <c:ser>
          <c:idx val="1"/>
          <c:order val="1"/>
          <c:tx>
            <c:strRef>
              <c:f>Pivots!$C$12</c:f>
              <c:strCache>
                <c:ptCount val="1"/>
                <c:pt idx="0">
                  <c:v>Sum of Revenue</c:v>
                </c:pt>
              </c:strCache>
            </c:strRef>
          </c:tx>
          <c:spPr>
            <a:solidFill>
              <a:schemeClr val="accent5">
                <a:shade val="76000"/>
              </a:schemeClr>
            </a:solidFill>
            <a:ln>
              <a:noFill/>
            </a:ln>
            <a:effectLst/>
            <a:sp3d/>
          </c:spPr>
          <c:invertIfNegative val="0"/>
          <c:dPt>
            <c:idx val="0"/>
            <c:invertIfNegative val="0"/>
            <c:bubble3D val="0"/>
            <c:spPr>
              <a:solidFill>
                <a:schemeClr val="accent5">
                  <a:shade val="76000"/>
                </a:schemeClr>
              </a:solidFill>
              <a:ln>
                <a:noFill/>
              </a:ln>
              <a:effectLst/>
              <a:sp3d/>
            </c:spPr>
            <c:extLst>
              <c:ext xmlns:c16="http://schemas.microsoft.com/office/drawing/2014/chart" uri="{C3380CC4-5D6E-409C-BE32-E72D297353CC}">
                <c16:uniqueId val="{00000002-0777-433B-AFD8-1C244982CC79}"/>
              </c:ext>
            </c:extLst>
          </c:dPt>
          <c:dLbls>
            <c:dLbl>
              <c:idx val="0"/>
              <c:layout>
                <c:manualLayout>
                  <c:x val="1.5594541910331348E-2"/>
                  <c:y val="-3.2388663967611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77-433B-AFD8-1C244982CC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Pivots!$B$13</c:f>
              <c:strCache>
                <c:ptCount val="1"/>
                <c:pt idx="0">
                  <c:v>Total</c:v>
                </c:pt>
              </c:strCache>
            </c:strRef>
          </c:cat>
          <c:val>
            <c:numRef>
              <c:f>Pivots!$C$13</c:f>
              <c:numCache>
                <c:formatCode>_("₹"* #,##0_);_("₹"* \(#,##0\);_("₹"* "-"_);_(@_)</c:formatCode>
                <c:ptCount val="1"/>
                <c:pt idx="0">
                  <c:v>9949000</c:v>
                </c:pt>
              </c:numCache>
            </c:numRef>
          </c:val>
          <c:extLst>
            <c:ext xmlns:c16="http://schemas.microsoft.com/office/drawing/2014/chart" uri="{C3380CC4-5D6E-409C-BE32-E72D297353CC}">
              <c16:uniqueId val="{00000001-0777-433B-AFD8-1C244982CC79}"/>
            </c:ext>
          </c:extLst>
        </c:ser>
        <c:dLbls>
          <c:showLegendKey val="0"/>
          <c:showVal val="1"/>
          <c:showCatName val="0"/>
          <c:showSerName val="0"/>
          <c:showPercent val="0"/>
          <c:showBubbleSize val="0"/>
        </c:dLbls>
        <c:gapWidth val="150"/>
        <c:shape val="box"/>
        <c:axId val="32883776"/>
        <c:axId val="34906848"/>
        <c:axId val="0"/>
      </c:bar3DChart>
      <c:catAx>
        <c:axId val="32883776"/>
        <c:scaling>
          <c:orientation val="minMax"/>
        </c:scaling>
        <c:delete val="1"/>
        <c:axPos val="b"/>
        <c:numFmt formatCode="General" sourceLinked="1"/>
        <c:majorTickMark val="none"/>
        <c:minorTickMark val="none"/>
        <c:tickLblPos val="nextTo"/>
        <c:crossAx val="34906848"/>
        <c:crosses val="autoZero"/>
        <c:auto val="1"/>
        <c:lblAlgn val="ctr"/>
        <c:lblOffset val="100"/>
        <c:noMultiLvlLbl val="0"/>
      </c:catAx>
      <c:valAx>
        <c:axId val="34906848"/>
        <c:scaling>
          <c:orientation val="minMax"/>
        </c:scaling>
        <c:delete val="1"/>
        <c:axPos val="l"/>
        <c:numFmt formatCode="_(&quot;₹&quot;* #,##0_);_(&quot;₹&quot;* \(#,##0\);_(&quot;₹&quot;* &quot;-&quot;_);_(@_)" sourceLinked="1"/>
        <c:majorTickMark val="none"/>
        <c:minorTickMark val="none"/>
        <c:tickLblPos val="nextTo"/>
        <c:crossAx val="32883776"/>
        <c:crosses val="autoZero"/>
        <c:crossBetween val="between"/>
      </c:valAx>
      <c:spPr>
        <a:noFill/>
        <a:ln>
          <a:noFill/>
        </a:ln>
        <a:effectLst/>
      </c:spPr>
    </c:plotArea>
    <c:legend>
      <c:legendPos val="r"/>
      <c:layout>
        <c:manualLayout>
          <c:xMode val="edge"/>
          <c:yMode val="edge"/>
          <c:x val="0.66334576598977757"/>
          <c:y val="0.16623418024163986"/>
          <c:w val="0.29376924375681113"/>
          <c:h val="0.18218750996206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[Finance_Dashboard.xlsx]Pivots!PivotTable5</c:name>
    <c:fmtId val="3"/>
  </c:pivotSource>
  <c:chart>
    <c:title>
      <c:tx>
        <c:rich>
          <a:bodyPr rot="0" spcFirstLastPara="1" vertOverflow="ellipsis" vert="horz" wrap="square" anchor="ctr" anchorCtr="1"/>
          <a:lstStyle/>
          <a:p>
            <a:pPr>
              <a:defRPr sz="1400" b="1" i="0" u="none" strike="noStrike" kern="1200" cap="none" spc="20" baseline="0">
                <a:solidFill>
                  <a:srgbClr val="002060"/>
                </a:solidFill>
                <a:latin typeface="+mn-lt"/>
                <a:ea typeface="+mn-ea"/>
                <a:cs typeface="+mn-cs"/>
              </a:defRPr>
            </a:pPr>
            <a:r>
              <a:rPr lang="en-US" b="1">
                <a:solidFill>
                  <a:srgbClr val="002060"/>
                </a:solidFill>
              </a:rPr>
              <a:t>Customer</a:t>
            </a:r>
            <a:r>
              <a:rPr lang="en-US" b="1" baseline="0">
                <a:solidFill>
                  <a:srgbClr val="002060"/>
                </a:solidFill>
              </a:rPr>
              <a:t> Type Share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rgbClr val="00206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pivotFmt>
    </c:pivotFmts>
    <c:plotArea>
      <c:layout/>
      <c:doughnutChart>
        <c:varyColors val="1"/>
        <c:ser>
          <c:idx val="0"/>
          <c:order val="0"/>
          <c:tx>
            <c:strRef>
              <c:f>Pivots!$B$20</c:f>
              <c:strCache>
                <c:ptCount val="1"/>
                <c:pt idx="0">
                  <c:v>Total</c:v>
                </c:pt>
              </c:strCache>
            </c:strRef>
          </c:tx>
          <c:dPt>
            <c:idx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1-0162-4E7D-9A67-773B29968A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Pivots!$B$21</c:f>
              <c:strCache>
                <c:ptCount val="1"/>
                <c:pt idx="0">
                  <c:v>Total</c:v>
                </c:pt>
              </c:strCache>
            </c:strRef>
          </c:cat>
          <c:val>
            <c:numRef>
              <c:f>Pivots!$B$21</c:f>
              <c:numCache>
                <c:formatCode>_("₹"* #,##0_);_("₹"* \(#,##0\);_("₹"* "-"_);_(@_)</c:formatCode>
                <c:ptCount val="1"/>
                <c:pt idx="0">
                  <c:v>9949000</c:v>
                </c:pt>
              </c:numCache>
            </c:numRef>
          </c:val>
          <c:extLst>
            <c:ext xmlns:c16="http://schemas.microsoft.com/office/drawing/2014/chart" uri="{C3380CC4-5D6E-409C-BE32-E72D297353CC}">
              <c16:uniqueId val="{00000002-0162-4E7D-9A67-773B29968A2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[Finance_Dashboard.xlsx]Pivots!rev_1</c:name>
    <c:fmtId val="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Regional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hade val="58000"/>
            </a:schemeClr>
          </a:solidFill>
          <a:ln>
            <a:noFill/>
          </a:ln>
          <a:effectLst/>
        </c:spPr>
        <c:dLbl>
          <c:idx val="0"/>
          <c:layout>
            <c:manualLayout>
              <c:x val="-2.8011204481792748E-3"/>
              <c:y val="-7.9487179487179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hade val="58000"/>
            </a:schemeClr>
          </a:solidFill>
          <a:ln>
            <a:noFill/>
          </a:ln>
          <a:effectLst/>
        </c:spPr>
        <c:dLbl>
          <c:idx val="0"/>
          <c:layout>
            <c:manualLayout>
              <c:x val="-1.2838320411448732E-17"/>
              <c:y val="-0.1282051282051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hade val="58000"/>
            </a:schemeClr>
          </a:solidFill>
          <a:ln>
            <a:noFill/>
          </a:ln>
          <a:effectLst/>
        </c:spPr>
        <c:dLbl>
          <c:idx val="0"/>
          <c:layout>
            <c:manualLayout>
              <c:x val="0"/>
              <c:y val="-7.6923076923076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hade val="58000"/>
            </a:schemeClr>
          </a:solidFill>
          <a:ln>
            <a:noFill/>
          </a:ln>
          <a:effectLst/>
        </c:spPr>
        <c:dLbl>
          <c:idx val="0"/>
          <c:layout>
            <c:manualLayout>
              <c:x val="-8.4033613445378148E-3"/>
              <c:y val="-0.14358974358974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hade val="58000"/>
            </a:schemeClr>
          </a:solidFill>
          <a:ln>
            <a:noFill/>
          </a:ln>
          <a:effectLst/>
        </c:spPr>
        <c:dLbl>
          <c:idx val="0"/>
          <c:layout>
            <c:manualLayout>
              <c:x val="-5.1353281645794929E-17"/>
              <c:y val="-0.14615384615384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hade val="58000"/>
            </a:schemeClr>
          </a:solidFill>
          <a:ln>
            <a:noFill/>
          </a:ln>
          <a:effectLst/>
        </c:spPr>
        <c:dLbl>
          <c:idx val="0"/>
          <c:layout>
            <c:manualLayout>
              <c:x val="-5.1353281645794929E-17"/>
              <c:y val="-0.117948717948717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hade val="58000"/>
            </a:schemeClr>
          </a:solidFill>
          <a:ln>
            <a:noFill/>
          </a:ln>
          <a:effectLst/>
        </c:spPr>
        <c:dLbl>
          <c:idx val="0"/>
          <c:layout>
            <c:manualLayout>
              <c:x val="8.4033613445378148E-3"/>
              <c:y val="-0.13333333333333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hade val="58000"/>
            </a:schemeClr>
          </a:solidFill>
          <a:ln>
            <a:noFill/>
          </a:ln>
          <a:effectLst/>
        </c:spPr>
        <c:dLbl>
          <c:idx val="0"/>
          <c:layout>
            <c:manualLayout>
              <c:x val="-8.4033613445378148E-3"/>
              <c:y val="-0.107692307692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hade val="58000"/>
            </a:schemeClr>
          </a:solidFill>
          <a:ln>
            <a:noFill/>
          </a:ln>
          <a:effectLst/>
        </c:spPr>
        <c:dLbl>
          <c:idx val="0"/>
          <c:layout>
            <c:manualLayout>
              <c:x val="-5.6022408963586458E-3"/>
              <c:y val="-0.14102564102564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hade val="58000"/>
            </a:schemeClr>
          </a:solidFill>
          <a:ln>
            <a:noFill/>
          </a:ln>
          <a:effectLst/>
        </c:spPr>
        <c:dLbl>
          <c:idx val="0"/>
          <c:layout>
            <c:manualLayout>
              <c:x val="8.4033613445377124E-3"/>
              <c:y val="-0.13333333333333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Pivots!$L$6:$L$7</c:f>
              <c:strCache>
                <c:ptCount val="1"/>
                <c:pt idx="0">
                  <c:v>East</c:v>
                </c:pt>
              </c:strCache>
            </c:strRef>
          </c:tx>
          <c:spPr>
            <a:solidFill>
              <a:schemeClr val="accent5">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Pivots!$K$8:$K$18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Pivots!$L$8:$L$18</c:f>
              <c:numCache>
                <c:formatCode>General</c:formatCode>
                <c:ptCount val="10"/>
                <c:pt idx="0">
                  <c:v>176000</c:v>
                </c:pt>
                <c:pt idx="1">
                  <c:v>279000</c:v>
                </c:pt>
                <c:pt idx="2">
                  <c:v>294000</c:v>
                </c:pt>
                <c:pt idx="3">
                  <c:v>187000</c:v>
                </c:pt>
                <c:pt idx="4">
                  <c:v>258000</c:v>
                </c:pt>
                <c:pt idx="5">
                  <c:v>171000</c:v>
                </c:pt>
                <c:pt idx="6">
                  <c:v>296000</c:v>
                </c:pt>
                <c:pt idx="7">
                  <c:v>220000</c:v>
                </c:pt>
                <c:pt idx="8">
                  <c:v>370000</c:v>
                </c:pt>
                <c:pt idx="9">
                  <c:v>204000</c:v>
                </c:pt>
              </c:numCache>
            </c:numRef>
          </c:val>
          <c:extLst>
            <c:ext xmlns:c16="http://schemas.microsoft.com/office/drawing/2014/chart" uri="{C3380CC4-5D6E-409C-BE32-E72D297353CC}">
              <c16:uniqueId val="{00000000-DFD1-41F3-AD30-355934577D56}"/>
            </c:ext>
          </c:extLst>
        </c:ser>
        <c:ser>
          <c:idx val="1"/>
          <c:order val="1"/>
          <c:tx>
            <c:strRef>
              <c:f>Pivots!$M$6:$M$7</c:f>
              <c:strCache>
                <c:ptCount val="1"/>
                <c:pt idx="0">
                  <c:v>North</c:v>
                </c:pt>
              </c:strCache>
            </c:strRef>
          </c:tx>
          <c:spPr>
            <a:solidFill>
              <a:schemeClr val="accent5">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Pivots!$K$8:$K$18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Pivots!$M$8:$M$18</c:f>
              <c:numCache>
                <c:formatCode>General</c:formatCode>
                <c:ptCount val="10"/>
                <c:pt idx="0">
                  <c:v>278000</c:v>
                </c:pt>
                <c:pt idx="1">
                  <c:v>201000</c:v>
                </c:pt>
                <c:pt idx="2">
                  <c:v>290000</c:v>
                </c:pt>
                <c:pt idx="3">
                  <c:v>181000</c:v>
                </c:pt>
                <c:pt idx="4">
                  <c:v>186000</c:v>
                </c:pt>
                <c:pt idx="5">
                  <c:v>274000</c:v>
                </c:pt>
                <c:pt idx="6">
                  <c:v>176000</c:v>
                </c:pt>
                <c:pt idx="7">
                  <c:v>317000</c:v>
                </c:pt>
                <c:pt idx="8">
                  <c:v>187000</c:v>
                </c:pt>
                <c:pt idx="9">
                  <c:v>319000</c:v>
                </c:pt>
              </c:numCache>
            </c:numRef>
          </c:val>
          <c:extLst>
            <c:ext xmlns:c16="http://schemas.microsoft.com/office/drawing/2014/chart" uri="{C3380CC4-5D6E-409C-BE32-E72D297353CC}">
              <c16:uniqueId val="{0000001C-51A6-4F40-80DE-99C2F3842979}"/>
            </c:ext>
          </c:extLst>
        </c:ser>
        <c:ser>
          <c:idx val="2"/>
          <c:order val="2"/>
          <c:tx>
            <c:strRef>
              <c:f>Pivots!$N$6:$N$7</c:f>
              <c:strCache>
                <c:ptCount val="1"/>
                <c:pt idx="0">
                  <c:v>South</c:v>
                </c:pt>
              </c:strCache>
            </c:strRef>
          </c:tx>
          <c:spPr>
            <a:solidFill>
              <a:schemeClr val="accent5">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Pivots!$K$8:$K$18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Pivots!$N$8:$N$18</c:f>
              <c:numCache>
                <c:formatCode>General</c:formatCode>
                <c:ptCount val="10"/>
                <c:pt idx="0">
                  <c:v>253000</c:v>
                </c:pt>
                <c:pt idx="1">
                  <c:v>148000</c:v>
                </c:pt>
                <c:pt idx="2">
                  <c:v>267000</c:v>
                </c:pt>
                <c:pt idx="3">
                  <c:v>254000</c:v>
                </c:pt>
                <c:pt idx="4">
                  <c:v>228000</c:v>
                </c:pt>
                <c:pt idx="5">
                  <c:v>299000</c:v>
                </c:pt>
                <c:pt idx="6">
                  <c:v>232000</c:v>
                </c:pt>
                <c:pt idx="7">
                  <c:v>330000</c:v>
                </c:pt>
                <c:pt idx="8">
                  <c:v>267000</c:v>
                </c:pt>
                <c:pt idx="9">
                  <c:v>331000</c:v>
                </c:pt>
              </c:numCache>
            </c:numRef>
          </c:val>
          <c:extLst>
            <c:ext xmlns:c16="http://schemas.microsoft.com/office/drawing/2014/chart" uri="{C3380CC4-5D6E-409C-BE32-E72D297353CC}">
              <c16:uniqueId val="{0000001D-51A6-4F40-80DE-99C2F3842979}"/>
            </c:ext>
          </c:extLst>
        </c:ser>
        <c:ser>
          <c:idx val="3"/>
          <c:order val="3"/>
          <c:tx>
            <c:strRef>
              <c:f>Pivots!$O$6:$O$7</c:f>
              <c:strCache>
                <c:ptCount val="1"/>
                <c:pt idx="0">
                  <c:v>West</c:v>
                </c:pt>
              </c:strCache>
            </c:strRef>
          </c:tx>
          <c:spPr>
            <a:solidFill>
              <a:schemeClr val="accent5">
                <a:shade val="58000"/>
              </a:schemeClr>
            </a:solidFill>
            <a:ln>
              <a:noFill/>
            </a:ln>
            <a:effectLst/>
          </c:spPr>
          <c:invertIfNegative val="0"/>
          <c:dPt>
            <c:idx val="0"/>
            <c:invertIfNegative val="0"/>
            <c:bubble3D val="0"/>
            <c:spPr>
              <a:solidFill>
                <a:schemeClr val="accent5">
                  <a:shade val="58000"/>
                </a:schemeClr>
              </a:solidFill>
              <a:ln>
                <a:noFill/>
              </a:ln>
              <a:effectLst/>
            </c:spPr>
            <c:extLst>
              <c:ext xmlns:c16="http://schemas.microsoft.com/office/drawing/2014/chart" uri="{C3380CC4-5D6E-409C-BE32-E72D297353CC}">
                <c16:uniqueId val="{00000001-D3C6-4C46-8EBC-2D6B1E8D7C0E}"/>
              </c:ext>
            </c:extLst>
          </c:dPt>
          <c:dPt>
            <c:idx val="1"/>
            <c:invertIfNegative val="0"/>
            <c:bubble3D val="0"/>
            <c:spPr>
              <a:solidFill>
                <a:schemeClr val="accent5">
                  <a:shade val="58000"/>
                </a:schemeClr>
              </a:solidFill>
              <a:ln>
                <a:noFill/>
              </a:ln>
              <a:effectLst/>
            </c:spPr>
            <c:extLst>
              <c:ext xmlns:c16="http://schemas.microsoft.com/office/drawing/2014/chart" uri="{C3380CC4-5D6E-409C-BE32-E72D297353CC}">
                <c16:uniqueId val="{00000003-D3C6-4C46-8EBC-2D6B1E8D7C0E}"/>
              </c:ext>
            </c:extLst>
          </c:dPt>
          <c:dPt>
            <c:idx val="2"/>
            <c:invertIfNegative val="0"/>
            <c:bubble3D val="0"/>
            <c:spPr>
              <a:solidFill>
                <a:schemeClr val="accent5">
                  <a:shade val="58000"/>
                </a:schemeClr>
              </a:solidFill>
              <a:ln>
                <a:noFill/>
              </a:ln>
              <a:effectLst/>
            </c:spPr>
            <c:extLst>
              <c:ext xmlns:c16="http://schemas.microsoft.com/office/drawing/2014/chart" uri="{C3380CC4-5D6E-409C-BE32-E72D297353CC}">
                <c16:uniqueId val="{00000005-D3C6-4C46-8EBC-2D6B1E8D7C0E}"/>
              </c:ext>
            </c:extLst>
          </c:dPt>
          <c:dPt>
            <c:idx val="3"/>
            <c:invertIfNegative val="0"/>
            <c:bubble3D val="0"/>
            <c:spPr>
              <a:solidFill>
                <a:schemeClr val="accent5">
                  <a:shade val="58000"/>
                </a:schemeClr>
              </a:solidFill>
              <a:ln>
                <a:noFill/>
              </a:ln>
              <a:effectLst/>
            </c:spPr>
            <c:extLst>
              <c:ext xmlns:c16="http://schemas.microsoft.com/office/drawing/2014/chart" uri="{C3380CC4-5D6E-409C-BE32-E72D297353CC}">
                <c16:uniqueId val="{00000007-D3C6-4C46-8EBC-2D6B1E8D7C0E}"/>
              </c:ext>
            </c:extLst>
          </c:dPt>
          <c:dPt>
            <c:idx val="4"/>
            <c:invertIfNegative val="0"/>
            <c:bubble3D val="0"/>
            <c:spPr>
              <a:solidFill>
                <a:schemeClr val="accent5">
                  <a:shade val="58000"/>
                </a:schemeClr>
              </a:solidFill>
              <a:ln>
                <a:noFill/>
              </a:ln>
              <a:effectLst/>
            </c:spPr>
            <c:extLst>
              <c:ext xmlns:c16="http://schemas.microsoft.com/office/drawing/2014/chart" uri="{C3380CC4-5D6E-409C-BE32-E72D297353CC}">
                <c16:uniqueId val="{00000009-D3C6-4C46-8EBC-2D6B1E8D7C0E}"/>
              </c:ext>
            </c:extLst>
          </c:dPt>
          <c:dPt>
            <c:idx val="5"/>
            <c:invertIfNegative val="0"/>
            <c:bubble3D val="0"/>
            <c:spPr>
              <a:solidFill>
                <a:schemeClr val="accent5">
                  <a:shade val="58000"/>
                </a:schemeClr>
              </a:solidFill>
              <a:ln>
                <a:noFill/>
              </a:ln>
              <a:effectLst/>
            </c:spPr>
            <c:extLst>
              <c:ext xmlns:c16="http://schemas.microsoft.com/office/drawing/2014/chart" uri="{C3380CC4-5D6E-409C-BE32-E72D297353CC}">
                <c16:uniqueId val="{0000000B-D3C6-4C46-8EBC-2D6B1E8D7C0E}"/>
              </c:ext>
            </c:extLst>
          </c:dPt>
          <c:dPt>
            <c:idx val="6"/>
            <c:invertIfNegative val="0"/>
            <c:bubble3D val="0"/>
            <c:spPr>
              <a:solidFill>
                <a:schemeClr val="accent5">
                  <a:shade val="58000"/>
                </a:schemeClr>
              </a:solidFill>
              <a:ln>
                <a:noFill/>
              </a:ln>
              <a:effectLst/>
            </c:spPr>
            <c:extLst>
              <c:ext xmlns:c16="http://schemas.microsoft.com/office/drawing/2014/chart" uri="{C3380CC4-5D6E-409C-BE32-E72D297353CC}">
                <c16:uniqueId val="{0000000D-D3C6-4C46-8EBC-2D6B1E8D7C0E}"/>
              </c:ext>
            </c:extLst>
          </c:dPt>
          <c:dPt>
            <c:idx val="7"/>
            <c:invertIfNegative val="0"/>
            <c:bubble3D val="0"/>
            <c:spPr>
              <a:solidFill>
                <a:schemeClr val="accent5">
                  <a:shade val="58000"/>
                </a:schemeClr>
              </a:solidFill>
              <a:ln>
                <a:noFill/>
              </a:ln>
              <a:effectLst/>
            </c:spPr>
            <c:extLst>
              <c:ext xmlns:c16="http://schemas.microsoft.com/office/drawing/2014/chart" uri="{C3380CC4-5D6E-409C-BE32-E72D297353CC}">
                <c16:uniqueId val="{0000000F-D3C6-4C46-8EBC-2D6B1E8D7C0E}"/>
              </c:ext>
            </c:extLst>
          </c:dPt>
          <c:dPt>
            <c:idx val="8"/>
            <c:invertIfNegative val="0"/>
            <c:bubble3D val="0"/>
            <c:spPr>
              <a:solidFill>
                <a:schemeClr val="accent5">
                  <a:shade val="58000"/>
                </a:schemeClr>
              </a:solidFill>
              <a:ln>
                <a:noFill/>
              </a:ln>
              <a:effectLst/>
            </c:spPr>
            <c:extLst>
              <c:ext xmlns:c16="http://schemas.microsoft.com/office/drawing/2014/chart" uri="{C3380CC4-5D6E-409C-BE32-E72D297353CC}">
                <c16:uniqueId val="{00000011-D3C6-4C46-8EBC-2D6B1E8D7C0E}"/>
              </c:ext>
            </c:extLst>
          </c:dPt>
          <c:dPt>
            <c:idx val="9"/>
            <c:invertIfNegative val="0"/>
            <c:bubble3D val="0"/>
            <c:spPr>
              <a:solidFill>
                <a:schemeClr val="accent5">
                  <a:shade val="58000"/>
                </a:schemeClr>
              </a:solidFill>
              <a:ln>
                <a:noFill/>
              </a:ln>
              <a:effectLst/>
            </c:spPr>
            <c:extLst>
              <c:ext xmlns:c16="http://schemas.microsoft.com/office/drawing/2014/chart" uri="{C3380CC4-5D6E-409C-BE32-E72D297353CC}">
                <c16:uniqueId val="{00000013-D3C6-4C46-8EBC-2D6B1E8D7C0E}"/>
              </c:ext>
            </c:extLst>
          </c:dPt>
          <c:dLbls>
            <c:dLbl>
              <c:idx val="0"/>
              <c:layout>
                <c:manualLayout>
                  <c:x val="-2.8011204481792748E-3"/>
                  <c:y val="-7.948717948717953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C6-4C46-8EBC-2D6B1E8D7C0E}"/>
                </c:ext>
              </c:extLst>
            </c:dLbl>
            <c:dLbl>
              <c:idx val="1"/>
              <c:layout>
                <c:manualLayout>
                  <c:x val="-1.2838320411448732E-17"/>
                  <c:y val="-0.128205128205128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C6-4C46-8EBC-2D6B1E8D7C0E}"/>
                </c:ext>
              </c:extLst>
            </c:dLbl>
            <c:dLbl>
              <c:idx val="2"/>
              <c:layout>
                <c:manualLayout>
                  <c:x val="0"/>
                  <c:y val="-7.692307692307694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C6-4C46-8EBC-2D6B1E8D7C0E}"/>
                </c:ext>
              </c:extLst>
            </c:dLbl>
            <c:dLbl>
              <c:idx val="3"/>
              <c:layout>
                <c:manualLayout>
                  <c:x val="-8.4033613445378148E-3"/>
                  <c:y val="-0.143589743589743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C6-4C46-8EBC-2D6B1E8D7C0E}"/>
                </c:ext>
              </c:extLst>
            </c:dLbl>
            <c:dLbl>
              <c:idx val="4"/>
              <c:layout>
                <c:manualLayout>
                  <c:x val="-5.1353281645794929E-17"/>
                  <c:y val="-0.146153846153846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3C6-4C46-8EBC-2D6B1E8D7C0E}"/>
                </c:ext>
              </c:extLst>
            </c:dLbl>
            <c:dLbl>
              <c:idx val="5"/>
              <c:layout>
                <c:manualLayout>
                  <c:x val="-5.1353281645794929E-17"/>
                  <c:y val="-0.117948717948717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3C6-4C46-8EBC-2D6B1E8D7C0E}"/>
                </c:ext>
              </c:extLst>
            </c:dLbl>
            <c:dLbl>
              <c:idx val="6"/>
              <c:layout>
                <c:manualLayout>
                  <c:x val="8.4033613445378148E-3"/>
                  <c:y val="-0.13333333333333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3C6-4C46-8EBC-2D6B1E8D7C0E}"/>
                </c:ext>
              </c:extLst>
            </c:dLbl>
            <c:dLbl>
              <c:idx val="7"/>
              <c:layout>
                <c:manualLayout>
                  <c:x val="-8.4033613445378148E-3"/>
                  <c:y val="-0.10769230769230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3C6-4C46-8EBC-2D6B1E8D7C0E}"/>
                </c:ext>
              </c:extLst>
            </c:dLbl>
            <c:dLbl>
              <c:idx val="8"/>
              <c:layout>
                <c:manualLayout>
                  <c:x val="-5.6022408963586458E-3"/>
                  <c:y val="-0.141025641025641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3C6-4C46-8EBC-2D6B1E8D7C0E}"/>
                </c:ext>
              </c:extLst>
            </c:dLbl>
            <c:dLbl>
              <c:idx val="9"/>
              <c:layout>
                <c:manualLayout>
                  <c:x val="8.4033613445377124E-3"/>
                  <c:y val="-0.13333333333333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3C6-4C46-8EBC-2D6B1E8D7C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Pivots!$K$8:$K$18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Pivots!$O$8:$O$18</c:f>
              <c:numCache>
                <c:formatCode>General</c:formatCode>
                <c:ptCount val="10"/>
                <c:pt idx="0">
                  <c:v>142000</c:v>
                </c:pt>
                <c:pt idx="1">
                  <c:v>257000</c:v>
                </c:pt>
                <c:pt idx="2">
                  <c:v>155000</c:v>
                </c:pt>
                <c:pt idx="3">
                  <c:v>316000</c:v>
                </c:pt>
                <c:pt idx="4">
                  <c:v>295000</c:v>
                </c:pt>
                <c:pt idx="5">
                  <c:v>235000</c:v>
                </c:pt>
                <c:pt idx="6">
                  <c:v>288000</c:v>
                </c:pt>
                <c:pt idx="7">
                  <c:v>213000</c:v>
                </c:pt>
                <c:pt idx="8">
                  <c:v>293000</c:v>
                </c:pt>
                <c:pt idx="9">
                  <c:v>282000</c:v>
                </c:pt>
              </c:numCache>
            </c:numRef>
          </c:val>
          <c:extLst>
            <c:ext xmlns:c16="http://schemas.microsoft.com/office/drawing/2014/chart" uri="{C3380CC4-5D6E-409C-BE32-E72D297353CC}">
              <c16:uniqueId val="{0000001E-51A6-4F40-80DE-99C2F3842979}"/>
            </c:ext>
          </c:extLst>
        </c:ser>
        <c:dLbls>
          <c:dLblPos val="ctr"/>
          <c:showLegendKey val="0"/>
          <c:showVal val="1"/>
          <c:showCatName val="0"/>
          <c:showSerName val="0"/>
          <c:showPercent val="0"/>
          <c:showBubbleSize val="0"/>
        </c:dLbls>
        <c:gapWidth val="150"/>
        <c:overlap val="100"/>
        <c:axId val="33873040"/>
        <c:axId val="33873520"/>
      </c:barChart>
      <c:catAx>
        <c:axId val="33873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73520"/>
        <c:crosses val="autoZero"/>
        <c:auto val="1"/>
        <c:lblAlgn val="ctr"/>
        <c:lblOffset val="100"/>
        <c:noMultiLvlLbl val="0"/>
      </c:catAx>
      <c:valAx>
        <c:axId val="33873520"/>
        <c:scaling>
          <c:orientation val="minMax"/>
        </c:scaling>
        <c:delete val="1"/>
        <c:axPos val="l"/>
        <c:numFmt formatCode="General" sourceLinked="1"/>
        <c:majorTickMark val="out"/>
        <c:minorTickMark val="none"/>
        <c:tickLblPos val="nextTo"/>
        <c:crossAx val="3387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[Finance_Dashboard.xlsx]Pivots!PivotTable7</c:name>
    <c:fmtId val="4"/>
  </c:pivotSource>
  <c:chart>
    <c:title>
      <c:tx>
        <c:rich>
          <a:bodyPr rot="0" spcFirstLastPara="1" vertOverflow="ellipsis" vert="horz" wrap="square" anchor="ctr" anchorCtr="1"/>
          <a:lstStyle/>
          <a:p>
            <a:pPr algn="ctr" rtl="0">
              <a:defRPr lang="en-IN" sz="1400" b="1" i="0" u="none" strike="noStrike" kern="1200" spc="0" baseline="0">
                <a:solidFill>
                  <a:schemeClr val="accent1">
                    <a:lumMod val="50000"/>
                  </a:schemeClr>
                </a:solidFill>
                <a:latin typeface="+mn-lt"/>
                <a:ea typeface="+mn-ea"/>
                <a:cs typeface="+mn-cs"/>
              </a:defRPr>
            </a:pPr>
            <a:r>
              <a:rPr lang="en-IN" sz="1400" b="1" i="0" u="none" strike="noStrike" kern="1200" spc="0" baseline="0">
                <a:solidFill>
                  <a:schemeClr val="accent1">
                    <a:lumMod val="50000"/>
                  </a:schemeClr>
                </a:solidFill>
                <a:latin typeface="+mn-lt"/>
                <a:ea typeface="+mn-ea"/>
                <a:cs typeface="+mn-cs"/>
              </a:rPr>
              <a:t>Business Unit Revenue Growth</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Pivots!$L$24:$L$25</c:f>
              <c:strCache>
                <c:ptCount val="1"/>
                <c:pt idx="0">
                  <c:v>Corporate</c:v>
                </c:pt>
              </c:strCache>
            </c:strRef>
          </c:tx>
          <c:spPr>
            <a:solidFill>
              <a:schemeClr val="accent5">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Pivots!$K$26:$K$35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Pivots!$L$26:$L$35</c:f>
              <c:numCache>
                <c:formatCode>0%</c:formatCode>
                <c:ptCount val="10"/>
                <c:pt idx="0">
                  <c:v>0.31684334511189632</c:v>
                </c:pt>
                <c:pt idx="1">
                  <c:v>0.31073446327683618</c:v>
                </c:pt>
                <c:pt idx="2">
                  <c:v>0.28429423459244535</c:v>
                </c:pt>
                <c:pt idx="3">
                  <c:v>0.21002132196162046</c:v>
                </c:pt>
                <c:pt idx="4">
                  <c:v>0.3112719751809721</c:v>
                </c:pt>
                <c:pt idx="5">
                  <c:v>0.29826353421859042</c:v>
                </c:pt>
                <c:pt idx="6">
                  <c:v>0.28225806451612906</c:v>
                </c:pt>
                <c:pt idx="7">
                  <c:v>0.32222222222222224</c:v>
                </c:pt>
                <c:pt idx="8">
                  <c:v>0.29453894359892568</c:v>
                </c:pt>
                <c:pt idx="9">
                  <c:v>0.2984154929577465</c:v>
                </c:pt>
              </c:numCache>
            </c:numRef>
          </c:val>
          <c:extLst>
            <c:ext xmlns:c16="http://schemas.microsoft.com/office/drawing/2014/chart" uri="{C3380CC4-5D6E-409C-BE32-E72D297353CC}">
              <c16:uniqueId val="{00000000-C3BB-4708-8576-03EA73DA1710}"/>
            </c:ext>
          </c:extLst>
        </c:ser>
        <c:ser>
          <c:idx val="1"/>
          <c:order val="1"/>
          <c:tx>
            <c:strRef>
              <c:f>Pivots!$M$24:$M$25</c:f>
              <c:strCache>
                <c:ptCount val="1"/>
                <c:pt idx="0">
                  <c:v>Finance</c:v>
                </c:pt>
              </c:strCache>
            </c:strRef>
          </c:tx>
          <c:spPr>
            <a:solidFill>
              <a:schemeClr val="accent5">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Pivots!$K$26:$K$35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Pivots!$M$26:$M$35</c:f>
              <c:numCache>
                <c:formatCode>0%</c:formatCode>
                <c:ptCount val="10"/>
                <c:pt idx="0">
                  <c:v>7.7738515901060068E-2</c:v>
                </c:pt>
                <c:pt idx="1">
                  <c:v>7.909604519774012E-2</c:v>
                </c:pt>
                <c:pt idx="2">
                  <c:v>7.2564612326043734E-2</c:v>
                </c:pt>
                <c:pt idx="3">
                  <c:v>0.16417910447761194</c:v>
                </c:pt>
                <c:pt idx="4">
                  <c:v>8.4798345398138575E-2</c:v>
                </c:pt>
                <c:pt idx="5">
                  <c:v>9.193054136874361E-2</c:v>
                </c:pt>
                <c:pt idx="6">
                  <c:v>0.17540322580645162</c:v>
                </c:pt>
                <c:pt idx="7">
                  <c:v>8.5185185185185183E-2</c:v>
                </c:pt>
                <c:pt idx="8">
                  <c:v>8.4153983885407346E-2</c:v>
                </c:pt>
                <c:pt idx="9">
                  <c:v>8.6267605633802813E-2</c:v>
                </c:pt>
              </c:numCache>
            </c:numRef>
          </c:val>
          <c:extLst>
            <c:ext xmlns:c16="http://schemas.microsoft.com/office/drawing/2014/chart" uri="{C3380CC4-5D6E-409C-BE32-E72D297353CC}">
              <c16:uniqueId val="{0000003D-D417-4C06-AAFA-7AC40C1A0E91}"/>
            </c:ext>
          </c:extLst>
        </c:ser>
        <c:ser>
          <c:idx val="2"/>
          <c:order val="2"/>
          <c:tx>
            <c:strRef>
              <c:f>Pivots!$N$24:$N$25</c:f>
              <c:strCache>
                <c:ptCount val="1"/>
                <c:pt idx="0">
                  <c:v>Retail</c:v>
                </c:pt>
              </c:strCache>
            </c:strRef>
          </c:tx>
          <c:spPr>
            <a:solidFill>
              <a:schemeClr val="accent5">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Pivots!$K$26:$K$35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Pivots!$N$26:$N$35</c:f>
              <c:numCache>
                <c:formatCode>0%</c:formatCode>
                <c:ptCount val="10"/>
                <c:pt idx="0">
                  <c:v>0.29328621908127206</c:v>
                </c:pt>
                <c:pt idx="1">
                  <c:v>0.27909604519774012</c:v>
                </c:pt>
                <c:pt idx="2">
                  <c:v>0.33996023856858848</c:v>
                </c:pt>
                <c:pt idx="3">
                  <c:v>0.28464818763326227</c:v>
                </c:pt>
                <c:pt idx="4">
                  <c:v>0.2730093071354705</c:v>
                </c:pt>
                <c:pt idx="5">
                  <c:v>0.27374872318692545</c:v>
                </c:pt>
                <c:pt idx="6">
                  <c:v>0.18548387096774194</c:v>
                </c:pt>
                <c:pt idx="7">
                  <c:v>0.25648148148148148</c:v>
                </c:pt>
                <c:pt idx="8">
                  <c:v>0.25693822739480754</c:v>
                </c:pt>
                <c:pt idx="9">
                  <c:v>0.25616197183098594</c:v>
                </c:pt>
              </c:numCache>
            </c:numRef>
          </c:val>
          <c:extLst>
            <c:ext xmlns:c16="http://schemas.microsoft.com/office/drawing/2014/chart" uri="{C3380CC4-5D6E-409C-BE32-E72D297353CC}">
              <c16:uniqueId val="{0000003E-D417-4C06-AAFA-7AC40C1A0E91}"/>
            </c:ext>
          </c:extLst>
        </c:ser>
        <c:ser>
          <c:idx val="3"/>
          <c:order val="3"/>
          <c:tx>
            <c:strRef>
              <c:f>Pivots!$O$24:$O$25</c:f>
              <c:strCache>
                <c:ptCount val="1"/>
                <c:pt idx="0">
                  <c:v>Technology</c:v>
                </c:pt>
              </c:strCache>
            </c:strRef>
          </c:tx>
          <c:spPr>
            <a:solidFill>
              <a:schemeClr val="accent5">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Pivots!$K$26:$K$35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Pivots!$O$26:$O$35</c:f>
              <c:numCache>
                <c:formatCode>0%</c:formatCode>
                <c:ptCount val="10"/>
                <c:pt idx="0">
                  <c:v>0.31213191990577149</c:v>
                </c:pt>
                <c:pt idx="1">
                  <c:v>0.3310734463276836</c:v>
                </c:pt>
                <c:pt idx="2">
                  <c:v>0.30318091451292245</c:v>
                </c:pt>
                <c:pt idx="3">
                  <c:v>0.34115138592750532</c:v>
                </c:pt>
                <c:pt idx="4">
                  <c:v>0.33092037228541882</c:v>
                </c:pt>
                <c:pt idx="5">
                  <c:v>0.33605720122574056</c:v>
                </c:pt>
                <c:pt idx="6">
                  <c:v>0.35685483870967744</c:v>
                </c:pt>
                <c:pt idx="7">
                  <c:v>0.33611111111111114</c:v>
                </c:pt>
                <c:pt idx="8">
                  <c:v>0.36436884512085943</c:v>
                </c:pt>
                <c:pt idx="9">
                  <c:v>0.35915492957746481</c:v>
                </c:pt>
              </c:numCache>
            </c:numRef>
          </c:val>
          <c:extLst>
            <c:ext xmlns:c16="http://schemas.microsoft.com/office/drawing/2014/chart" uri="{C3380CC4-5D6E-409C-BE32-E72D297353CC}">
              <c16:uniqueId val="{0000003F-D417-4C06-AAFA-7AC40C1A0E91}"/>
            </c:ext>
          </c:extLst>
        </c:ser>
        <c:dLbls>
          <c:dLblPos val="ctr"/>
          <c:showLegendKey val="0"/>
          <c:showVal val="1"/>
          <c:showCatName val="0"/>
          <c:showSerName val="0"/>
          <c:showPercent val="0"/>
          <c:showBubbleSize val="0"/>
        </c:dLbls>
        <c:gapWidth val="150"/>
        <c:overlap val="100"/>
        <c:axId val="33868240"/>
        <c:axId val="33881680"/>
      </c:barChart>
      <c:catAx>
        <c:axId val="3386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81680"/>
        <c:crosses val="autoZero"/>
        <c:auto val="1"/>
        <c:lblAlgn val="ctr"/>
        <c:lblOffset val="100"/>
        <c:noMultiLvlLbl val="0"/>
      </c:catAx>
      <c:valAx>
        <c:axId val="33881680"/>
        <c:scaling>
          <c:orientation val="minMax"/>
        </c:scaling>
        <c:delete val="1"/>
        <c:axPos val="l"/>
        <c:numFmt formatCode="0%" sourceLinked="1"/>
        <c:majorTickMark val="out"/>
        <c:minorTickMark val="none"/>
        <c:tickLblPos val="nextTo"/>
        <c:crossAx val="33868240"/>
        <c:crosses val="autoZero"/>
        <c:crossBetween val="between"/>
      </c:valAx>
      <c:spPr>
        <a:noFill/>
        <a:ln>
          <a:noFill/>
        </a:ln>
        <a:effectLst/>
      </c:spPr>
    </c:plotArea>
    <c:legend>
      <c:legendPos val="r"/>
      <c:layout>
        <c:manualLayout>
          <c:xMode val="edge"/>
          <c:yMode val="edge"/>
          <c:x val="0.77521430634567812"/>
          <c:y val="0.16207192842618229"/>
          <c:w val="0.17737708090432883"/>
          <c:h val="0.215701241764668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[Finance_Dashboard.xlsx]Pivots!PivotTable8</c:name>
    <c:fmtId val="3"/>
  </c:pivotSource>
  <c:chart>
    <c:title>
      <c:tx>
        <c:rich>
          <a:bodyPr rot="0" spcFirstLastPara="1" vertOverflow="ellipsis" vert="horz" wrap="square" anchor="ctr" anchorCtr="1"/>
          <a:lstStyle/>
          <a:p>
            <a:pPr>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Revenue Contribution by Stream</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Pivots!$L$41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Pivots!$K$42:$K$51</c:f>
              <c:strCache>
                <c:ptCount val="9"/>
                <c:pt idx="0">
                  <c:v>Campaign Revenue</c:v>
                </c:pt>
                <c:pt idx="1">
                  <c:v>Consulting Fees</c:v>
                </c:pt>
                <c:pt idx="2">
                  <c:v>Interest Income</c:v>
                </c:pt>
                <c:pt idx="3">
                  <c:v>Investment Income</c:v>
                </c:pt>
                <c:pt idx="4">
                  <c:v>License Sales</c:v>
                </c:pt>
                <c:pt idx="5">
                  <c:v>Product Sales</c:v>
                </c:pt>
                <c:pt idx="6">
                  <c:v>SaaS Revenue</c:v>
                </c:pt>
                <c:pt idx="7">
                  <c:v>Service Revenue</c:v>
                </c:pt>
                <c:pt idx="8">
                  <c:v>Subscription</c:v>
                </c:pt>
              </c:strCache>
            </c:strRef>
          </c:cat>
          <c:val>
            <c:numRef>
              <c:f>Pivots!$L$42:$L$51</c:f>
              <c:numCache>
                <c:formatCode>_("₹"* #,##0_);_("₹"* \(#,##0\);_("₹"* "-"_);_(@_)</c:formatCode>
                <c:ptCount val="9"/>
                <c:pt idx="0">
                  <c:v>591000</c:v>
                </c:pt>
                <c:pt idx="1">
                  <c:v>827000</c:v>
                </c:pt>
                <c:pt idx="2">
                  <c:v>993000</c:v>
                </c:pt>
                <c:pt idx="3">
                  <c:v>1111000</c:v>
                </c:pt>
                <c:pt idx="4">
                  <c:v>719000</c:v>
                </c:pt>
                <c:pt idx="5">
                  <c:v>2085000</c:v>
                </c:pt>
                <c:pt idx="6">
                  <c:v>1470000</c:v>
                </c:pt>
                <c:pt idx="7">
                  <c:v>978000</c:v>
                </c:pt>
                <c:pt idx="8">
                  <c:v>1175000</c:v>
                </c:pt>
              </c:numCache>
            </c:numRef>
          </c:val>
          <c:extLst>
            <c:ext xmlns:c16="http://schemas.microsoft.com/office/drawing/2014/chart" uri="{C3380CC4-5D6E-409C-BE32-E72D297353CC}">
              <c16:uniqueId val="{00000000-AB64-4190-B99D-7B22019CF916}"/>
            </c:ext>
          </c:extLst>
        </c:ser>
        <c:dLbls>
          <c:dLblPos val="outEnd"/>
          <c:showLegendKey val="0"/>
          <c:showVal val="1"/>
          <c:showCatName val="0"/>
          <c:showSerName val="0"/>
          <c:showPercent val="0"/>
          <c:showBubbleSize val="0"/>
        </c:dLbls>
        <c:gapWidth val="100"/>
        <c:overlap val="-24"/>
        <c:axId val="2012461967"/>
        <c:axId val="2012463407"/>
      </c:barChart>
      <c:catAx>
        <c:axId val="2012461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63407"/>
        <c:crosses val="autoZero"/>
        <c:auto val="1"/>
        <c:lblAlgn val="ctr"/>
        <c:lblOffset val="100"/>
        <c:noMultiLvlLbl val="0"/>
      </c:catAx>
      <c:valAx>
        <c:axId val="2012463407"/>
        <c:scaling>
          <c:orientation val="minMax"/>
        </c:scaling>
        <c:delete val="1"/>
        <c:axPos val="l"/>
        <c:numFmt formatCode="_(&quot;₹&quot;* #,##0_);_(&quot;₹&quot;* \(#,##0\);_(&quot;₹&quot;* &quot;-&quot;_);_(@_)" sourceLinked="1"/>
        <c:majorTickMark val="none"/>
        <c:minorTickMark val="none"/>
        <c:tickLblPos val="nextTo"/>
        <c:crossAx val="20124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[Finance_Dashboard.xlsx]Pivots!PivotTable9</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Customer Revenue Mix</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22448979591839"/>
                  <c:h val="0.14483399544845413"/>
                </c:manualLayout>
              </c15:layout>
            </c:ext>
          </c:extLst>
        </c:dLbl>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355102040816326"/>
                  <c:h val="0.14483399544845413"/>
                </c:manualLayout>
              </c15:layout>
            </c:ext>
          </c:extLst>
        </c:dLbl>
      </c:pivotFmt>
    </c:pivotFmts>
    <c:plotArea>
      <c:layout>
        <c:manualLayout>
          <c:layoutTarget val="inner"/>
          <c:xMode val="edge"/>
          <c:yMode val="edge"/>
          <c:x val="7.194300712410949E-2"/>
          <c:y val="0.26438201267137679"/>
          <c:w val="0.71877186780223901"/>
          <c:h val="0.53202147314667236"/>
        </c:manualLayout>
      </c:layout>
      <c:doughnutChart>
        <c:varyColors val="1"/>
        <c:ser>
          <c:idx val="0"/>
          <c:order val="0"/>
          <c:tx>
            <c:strRef>
              <c:f>Pivots!$H$35</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1-C762-44C2-A5B9-F395ACE2128E}"/>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C762-44C2-A5B9-F395ACE2128E}"/>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31722448979591839"/>
                      <c:h val="0.14483399544845413"/>
                    </c:manualLayout>
                  </c15:layout>
                </c:ext>
                <c:ext xmlns:c16="http://schemas.microsoft.com/office/drawing/2014/chart" uri="{C3380CC4-5D6E-409C-BE32-E72D297353CC}">
                  <c16:uniqueId val="{00000001-C762-44C2-A5B9-F395ACE2128E}"/>
                </c:ext>
              </c:extLst>
            </c:dLbl>
            <c:dLbl>
              <c:idx val="1"/>
              <c:showLegendKey val="0"/>
              <c:showVal val="1"/>
              <c:showCatName val="0"/>
              <c:showSerName val="0"/>
              <c:showPercent val="0"/>
              <c:showBubbleSize val="0"/>
              <c:extLst>
                <c:ext xmlns:c15="http://schemas.microsoft.com/office/drawing/2012/chart" uri="{CE6537A1-D6FC-4f65-9D91-7224C49458BB}">
                  <c15:layout>
                    <c:manualLayout>
                      <c:w val="0.33355102040816326"/>
                      <c:h val="0.14483399544845413"/>
                    </c:manualLayout>
                  </c15:layout>
                </c:ext>
                <c:ext xmlns:c16="http://schemas.microsoft.com/office/drawing/2014/chart" uri="{C3380CC4-5D6E-409C-BE32-E72D297353CC}">
                  <c16:uniqueId val="{00000003-C762-44C2-A5B9-F395ACE212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Pivots!$G$36:$G$38</c:f>
              <c:strCache>
                <c:ptCount val="2"/>
                <c:pt idx="0">
                  <c:v>B2B</c:v>
                </c:pt>
                <c:pt idx="1">
                  <c:v>B2C</c:v>
                </c:pt>
              </c:strCache>
            </c:strRef>
          </c:cat>
          <c:val>
            <c:numRef>
              <c:f>Pivots!$H$36:$H$38</c:f>
              <c:numCache>
                <c:formatCode>_("₹"* #,##0_);_("₹"* \(#,##0\);_("₹"* "-"_);_(@_)</c:formatCode>
                <c:ptCount val="2"/>
                <c:pt idx="0">
                  <c:v>7273000</c:v>
                </c:pt>
                <c:pt idx="1">
                  <c:v>2676000</c:v>
                </c:pt>
              </c:numCache>
            </c:numRef>
          </c:val>
          <c:extLst>
            <c:ext xmlns:c16="http://schemas.microsoft.com/office/drawing/2014/chart" uri="{C3380CC4-5D6E-409C-BE32-E72D297353CC}">
              <c16:uniqueId val="{00000004-C762-44C2-A5B9-F395ACE212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[Finance_Dashboard.xlsx]Pivots!PivotTable10</c:name>
    <c:fmtId val="7"/>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US">
                <a:solidFill>
                  <a:schemeClr val="accent1">
                    <a:lumMod val="50000"/>
                  </a:schemeClr>
                </a:solidFill>
              </a:rPr>
              <a:t>Top Expense Drivers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75185396089829"/>
          <c:y val="0.10262035476996023"/>
          <c:w val="0.63182254337908506"/>
          <c:h val="0.86520370751289688"/>
        </c:manualLayout>
      </c:layout>
      <c:barChart>
        <c:barDir val="bar"/>
        <c:grouping val="clustered"/>
        <c:varyColors val="0"/>
        <c:ser>
          <c:idx val="0"/>
          <c:order val="0"/>
          <c:tx>
            <c:strRef>
              <c:f>Pivots!$V$7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Pivots!$U$8:$U$50</c:f>
              <c:strCache>
                <c:ptCount val="42"/>
                <c:pt idx="0">
                  <c:v>Advertising</c:v>
                </c:pt>
                <c:pt idx="1">
                  <c:v>Audit</c:v>
                </c:pt>
                <c:pt idx="2">
                  <c:v>Audit Fees</c:v>
                </c:pt>
                <c:pt idx="3">
                  <c:v>Branding</c:v>
                </c:pt>
                <c:pt idx="4">
                  <c:v>Campaigns</c:v>
                </c:pt>
                <c:pt idx="5">
                  <c:v>Cloud Hosting</c:v>
                </c:pt>
                <c:pt idx="6">
                  <c:v>Cloud Services</c:v>
                </c:pt>
                <c:pt idx="7">
                  <c:v>Compliance</c:v>
                </c:pt>
                <c:pt idx="8">
                  <c:v>Consulting</c:v>
                </c:pt>
                <c:pt idx="9">
                  <c:v>Customer Success</c:v>
                </c:pt>
                <c:pt idx="10">
                  <c:v>Customer Support</c:v>
                </c:pt>
                <c:pt idx="11">
                  <c:v>Data Center</c:v>
                </c:pt>
                <c:pt idx="12">
                  <c:v>Delivery</c:v>
                </c:pt>
                <c:pt idx="13">
                  <c:v>Digital Ads</c:v>
                </c:pt>
                <c:pt idx="14">
                  <c:v>Distribution</c:v>
                </c:pt>
                <c:pt idx="15">
                  <c:v>Employee Welfare</c:v>
                </c:pt>
                <c:pt idx="16">
                  <c:v>Events</c:v>
                </c:pt>
                <c:pt idx="17">
                  <c:v>Infrastructure</c:v>
                </c:pt>
                <c:pt idx="18">
                  <c:v>Inventory</c:v>
                </c:pt>
                <c:pt idx="19">
                  <c:v>Legal</c:v>
                </c:pt>
                <c:pt idx="20">
                  <c:v>Logistics</c:v>
                </c:pt>
                <c:pt idx="21">
                  <c:v>Maintenance</c:v>
                </c:pt>
                <c:pt idx="22">
                  <c:v>Marketing</c:v>
                </c:pt>
                <c:pt idx="23">
                  <c:v>Media Spend</c:v>
                </c:pt>
                <c:pt idx="24">
                  <c:v>Packaging</c:v>
                </c:pt>
                <c:pt idx="25">
                  <c:v>PR Spend</c:v>
                </c:pt>
                <c:pt idx="26">
                  <c:v>Promotions</c:v>
                </c:pt>
                <c:pt idx="27">
                  <c:v>Quality Control</c:v>
                </c:pt>
                <c:pt idx="28">
                  <c:v>Recruitment</c:v>
                </c:pt>
                <c:pt idx="29">
                  <c:v>Reporting</c:v>
                </c:pt>
                <c:pt idx="30">
                  <c:v>Returns</c:v>
                </c:pt>
                <c:pt idx="31">
                  <c:v>Risk Advisory</c:v>
                </c:pt>
                <c:pt idx="32">
                  <c:v>Risk Management</c:v>
                </c:pt>
                <c:pt idx="33">
                  <c:v>Security</c:v>
                </c:pt>
                <c:pt idx="34">
                  <c:v>Server Costs</c:v>
                </c:pt>
                <c:pt idx="35">
                  <c:v>Tax Advisory</c:v>
                </c:pt>
                <c:pt idx="36">
                  <c:v>Tax Filing</c:v>
                </c:pt>
                <c:pt idx="37">
                  <c:v>Training</c:v>
                </c:pt>
                <c:pt idx="38">
                  <c:v>Transport</c:v>
                </c:pt>
                <c:pt idx="39">
                  <c:v>Upgrades</c:v>
                </c:pt>
                <c:pt idx="40">
                  <c:v>Warehouse</c:v>
                </c:pt>
                <c:pt idx="41">
                  <c:v>Warehousing</c:v>
                </c:pt>
              </c:strCache>
            </c:strRef>
          </c:cat>
          <c:val>
            <c:numRef>
              <c:f>Pivots!$V$8:$V$50</c:f>
              <c:numCache>
                <c:formatCode>0.0%</c:formatCode>
                <c:ptCount val="42"/>
                <c:pt idx="0">
                  <c:v>8.2572794437201225E-3</c:v>
                </c:pt>
                <c:pt idx="1">
                  <c:v>2.1512385919165579E-2</c:v>
                </c:pt>
                <c:pt idx="2">
                  <c:v>1.1299435028248588E-2</c:v>
                </c:pt>
                <c:pt idx="3">
                  <c:v>2.4989135158626684E-2</c:v>
                </c:pt>
                <c:pt idx="4">
                  <c:v>2.0208604954367666E-2</c:v>
                </c:pt>
                <c:pt idx="5">
                  <c:v>2.3033463711429811E-2</c:v>
                </c:pt>
                <c:pt idx="6">
                  <c:v>7.6053889613211644E-3</c:v>
                </c:pt>
                <c:pt idx="7">
                  <c:v>3.911342894393742E-2</c:v>
                </c:pt>
                <c:pt idx="8">
                  <c:v>3.824424163407214E-2</c:v>
                </c:pt>
                <c:pt idx="9">
                  <c:v>3.6940460669274228E-2</c:v>
                </c:pt>
                <c:pt idx="10">
                  <c:v>4.6284224250325946E-2</c:v>
                </c:pt>
                <c:pt idx="11">
                  <c:v>1.0212950890916993E-2</c:v>
                </c:pt>
                <c:pt idx="12">
                  <c:v>1.8252933507170794E-2</c:v>
                </c:pt>
                <c:pt idx="13">
                  <c:v>9.126466753585397E-3</c:v>
                </c:pt>
                <c:pt idx="14">
                  <c:v>2.8465884398087789E-2</c:v>
                </c:pt>
                <c:pt idx="15">
                  <c:v>2.4119947848761408E-2</c:v>
                </c:pt>
                <c:pt idx="16">
                  <c:v>1.977401129943503E-2</c:v>
                </c:pt>
                <c:pt idx="17">
                  <c:v>3.172533681008257E-2</c:v>
                </c:pt>
                <c:pt idx="18">
                  <c:v>3.0421555845284658E-2</c:v>
                </c:pt>
                <c:pt idx="19">
                  <c:v>6.3016079965232509E-3</c:v>
                </c:pt>
                <c:pt idx="20">
                  <c:v>9.126466753585397E-3</c:v>
                </c:pt>
                <c:pt idx="21">
                  <c:v>1.7601043024771838E-2</c:v>
                </c:pt>
                <c:pt idx="22">
                  <c:v>6.4971751412429377E-2</c:v>
                </c:pt>
                <c:pt idx="23">
                  <c:v>2.8031290743155149E-2</c:v>
                </c:pt>
                <c:pt idx="24">
                  <c:v>3.0638852672750978E-2</c:v>
                </c:pt>
                <c:pt idx="25">
                  <c:v>2.0208604954367666E-2</c:v>
                </c:pt>
                <c:pt idx="26">
                  <c:v>2.4337244676227728E-2</c:v>
                </c:pt>
                <c:pt idx="27">
                  <c:v>3.0856149500217298E-2</c:v>
                </c:pt>
                <c:pt idx="28">
                  <c:v>2.2816166883963495E-2</c:v>
                </c:pt>
                <c:pt idx="29">
                  <c:v>1.6297262059973925E-2</c:v>
                </c:pt>
                <c:pt idx="30">
                  <c:v>3.6505867014341588E-2</c:v>
                </c:pt>
                <c:pt idx="31">
                  <c:v>2.6510212950890916E-2</c:v>
                </c:pt>
                <c:pt idx="32">
                  <c:v>2.6727509778357236E-2</c:v>
                </c:pt>
                <c:pt idx="33">
                  <c:v>3.1508039982616254E-2</c:v>
                </c:pt>
                <c:pt idx="34">
                  <c:v>3.5202086049543675E-2</c:v>
                </c:pt>
                <c:pt idx="35">
                  <c:v>1.4776184267709691E-2</c:v>
                </c:pt>
                <c:pt idx="36">
                  <c:v>7.8226857887874843E-3</c:v>
                </c:pt>
                <c:pt idx="37">
                  <c:v>3.172533681008257E-2</c:v>
                </c:pt>
                <c:pt idx="38">
                  <c:v>1.7383746197305518E-2</c:v>
                </c:pt>
                <c:pt idx="39">
                  <c:v>3.0856149500217298E-2</c:v>
                </c:pt>
                <c:pt idx="40">
                  <c:v>9.9956540634506732E-3</c:v>
                </c:pt>
                <c:pt idx="41">
                  <c:v>1.0212950890916993E-2</c:v>
                </c:pt>
              </c:numCache>
            </c:numRef>
          </c:val>
          <c:extLst>
            <c:ext xmlns:c16="http://schemas.microsoft.com/office/drawing/2014/chart" uri="{C3380CC4-5D6E-409C-BE32-E72D297353CC}">
              <c16:uniqueId val="{00000000-BF12-4245-82F4-85E11767C5B8}"/>
            </c:ext>
          </c:extLst>
        </c:ser>
        <c:dLbls>
          <c:dLblPos val="outEnd"/>
          <c:showLegendKey val="0"/>
          <c:showVal val="1"/>
          <c:showCatName val="0"/>
          <c:showSerName val="0"/>
          <c:showPercent val="0"/>
          <c:showBubbleSize val="0"/>
        </c:dLbls>
        <c:gapWidth val="115"/>
        <c:overlap val="-20"/>
        <c:axId val="278822559"/>
        <c:axId val="278823039"/>
      </c:barChart>
      <c:catAx>
        <c:axId val="2788225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23039"/>
        <c:crosses val="autoZero"/>
        <c:auto val="1"/>
        <c:lblAlgn val="ctr"/>
        <c:lblOffset val="100"/>
        <c:noMultiLvlLbl val="0"/>
      </c:catAx>
      <c:valAx>
        <c:axId val="278823039"/>
        <c:scaling>
          <c:orientation val="minMax"/>
        </c:scaling>
        <c:delete val="1"/>
        <c:axPos val="b"/>
        <c:numFmt formatCode="0.0%" sourceLinked="1"/>
        <c:majorTickMark val="none"/>
        <c:minorTickMark val="none"/>
        <c:tickLblPos val="nextTo"/>
        <c:crossAx val="27882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[Finance_Dashboard.xlsx]Pivots!PivotTable11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Expense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Pivots!$Y$7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Pivots!$X$8:$X$18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Pivots!$Y$8:$Y$18</c:f>
              <c:numCache>
                <c:formatCode>General</c:formatCode>
                <c:ptCount val="10"/>
                <c:pt idx="0">
                  <c:v>382000</c:v>
                </c:pt>
                <c:pt idx="1">
                  <c:v>410000</c:v>
                </c:pt>
                <c:pt idx="2">
                  <c:v>464000</c:v>
                </c:pt>
                <c:pt idx="3">
                  <c:v>440000</c:v>
                </c:pt>
                <c:pt idx="4">
                  <c:v>448000</c:v>
                </c:pt>
                <c:pt idx="5">
                  <c:v>451000</c:v>
                </c:pt>
                <c:pt idx="6">
                  <c:v>454000</c:v>
                </c:pt>
                <c:pt idx="7">
                  <c:v>506000</c:v>
                </c:pt>
                <c:pt idx="8">
                  <c:v>519000</c:v>
                </c:pt>
                <c:pt idx="9">
                  <c:v>528000</c:v>
                </c:pt>
              </c:numCache>
            </c:numRef>
          </c:val>
          <c:smooth val="0"/>
          <c:extLst>
            <c:ext xmlns:c16="http://schemas.microsoft.com/office/drawing/2014/chart" uri="{C3380CC4-5D6E-409C-BE32-E72D297353CC}">
              <c16:uniqueId val="{00000000-701D-4D12-9009-37AA010C132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829599"/>
        <c:axId val="7826239"/>
      </c:lineChart>
      <c:catAx>
        <c:axId val="78295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826239"/>
        <c:crosses val="autoZero"/>
        <c:auto val="1"/>
        <c:lblAlgn val="ctr"/>
        <c:lblOffset val="100"/>
        <c:noMultiLvlLbl val="0"/>
      </c:catAx>
      <c:valAx>
        <c:axId val="7826239"/>
        <c:scaling>
          <c:orientation val="minMax"/>
        </c:scaling>
        <c:delete val="1"/>
        <c:axPos val="l"/>
        <c:numFmt formatCode="General" sourceLinked="1"/>
        <c:majorTickMark val="none"/>
        <c:minorTickMark val="none"/>
        <c:tickLblPos val="nextTo"/>
        <c:crossAx val="78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[Finance_Dashboard.xlsx]Pivots!PivotTable12</c:name>
    <c:fmtId val="3"/>
  </c:pivotSource>
  <c:chart>
    <c:title>
      <c:tx>
        <c:rich>
          <a:bodyPr rot="0" spcFirstLastPara="1" vertOverflow="ellipsis" vert="horz" wrap="square" anchor="ctr" anchorCtr="1"/>
          <a:lstStyle/>
          <a:p>
            <a:pPr algn="ctr" rtl="0">
              <a:defRPr lang="en-US" sz="1400" b="1" i="0" u="none" strike="noStrike" kern="1200" cap="none" spc="0" baseline="0">
                <a:solidFill>
                  <a:srgbClr val="002060"/>
                </a:solidFill>
                <a:latin typeface="+mn-lt"/>
                <a:ea typeface="+mn-ea"/>
                <a:cs typeface="+mn-cs"/>
              </a:defRPr>
            </a:pPr>
            <a:r>
              <a:rPr lang="en-US" sz="1400" b="1" i="0" u="none" strike="noStrike" kern="1200" spc="0" baseline="0">
                <a:solidFill>
                  <a:srgbClr val="002060"/>
                </a:solidFill>
                <a:latin typeface="+mn-lt"/>
                <a:ea typeface="+mn-ea"/>
                <a:cs typeface="+mn-cs"/>
              </a:rPr>
              <a:t>Department Expense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Pivots!$Y$24</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Pivots!$X$25:$X$32</c:f>
              <c:strCache>
                <c:ptCount val="7"/>
                <c:pt idx="0">
                  <c:v>Accounts</c:v>
                </c:pt>
                <c:pt idx="1">
                  <c:v>Finance</c:v>
                </c:pt>
                <c:pt idx="2">
                  <c:v>HR</c:v>
                </c:pt>
                <c:pt idx="3">
                  <c:v>IT</c:v>
                </c:pt>
                <c:pt idx="4">
                  <c:v>Marketing</c:v>
                </c:pt>
                <c:pt idx="5">
                  <c:v>Operations</c:v>
                </c:pt>
                <c:pt idx="6">
                  <c:v>Sales</c:v>
                </c:pt>
              </c:strCache>
            </c:strRef>
          </c:cat>
          <c:val>
            <c:numRef>
              <c:f>Pivots!$Y$25:$Y$32</c:f>
              <c:numCache>
                <c:formatCode>_("₹"* #,##0_);_("₹"* \(#,##0\);_("₹"* "-"_);_(@_)</c:formatCode>
                <c:ptCount val="7"/>
                <c:pt idx="0">
                  <c:v>422000</c:v>
                </c:pt>
                <c:pt idx="1">
                  <c:v>538000</c:v>
                </c:pt>
                <c:pt idx="2">
                  <c:v>362000</c:v>
                </c:pt>
                <c:pt idx="3">
                  <c:v>864000</c:v>
                </c:pt>
                <c:pt idx="4">
                  <c:v>713000</c:v>
                </c:pt>
                <c:pt idx="5">
                  <c:v>516000</c:v>
                </c:pt>
                <c:pt idx="6">
                  <c:v>1187000</c:v>
                </c:pt>
              </c:numCache>
            </c:numRef>
          </c:val>
          <c:extLst>
            <c:ext xmlns:c16="http://schemas.microsoft.com/office/drawing/2014/chart" uri="{C3380CC4-5D6E-409C-BE32-E72D297353CC}">
              <c16:uniqueId val="{00000000-C3C4-47C1-8F1A-4296ACCC4FC0}"/>
            </c:ext>
          </c:extLst>
        </c:ser>
        <c:dLbls>
          <c:dLblPos val="outEnd"/>
          <c:showLegendKey val="0"/>
          <c:showVal val="1"/>
          <c:showCatName val="0"/>
          <c:showSerName val="0"/>
          <c:showPercent val="0"/>
          <c:showBubbleSize val="0"/>
        </c:dLbls>
        <c:gapWidth val="164"/>
        <c:overlap val="-35"/>
        <c:axId val="181667199"/>
        <c:axId val="181655199"/>
      </c:barChart>
      <c:catAx>
        <c:axId val="18166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655199"/>
        <c:crosses val="autoZero"/>
        <c:auto val="1"/>
        <c:lblAlgn val="ctr"/>
        <c:lblOffset val="100"/>
        <c:noMultiLvlLbl val="0"/>
      </c:catAx>
      <c:valAx>
        <c:axId val="181655199"/>
        <c:scaling>
          <c:orientation val="minMax"/>
        </c:scaling>
        <c:delete val="1"/>
        <c:axPos val="l"/>
        <c:numFmt formatCode="_(&quot;₹&quot;* #,##0_);_(&quot;₹&quot;* \(#,##0\);_(&quot;₹&quot;* &quot;-&quot;_);_(@_)" sourceLinked="1"/>
        <c:majorTickMark val="none"/>
        <c:minorTickMark val="none"/>
        <c:tickLblPos val="nextTo"/>
        <c:crossAx val="18166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[Finance_Dashboard.xlsx]Pivots!PivotTable6</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a:solidFill>
                  <a:srgbClr val="002060"/>
                </a:solidFill>
              </a:rPr>
              <a:t>Expense vs Revenue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Pivots!$Y$38</c:f>
              <c:strCache>
                <c:ptCount val="1"/>
                <c:pt idx="0">
                  <c:v>Sum of Expense</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Pivots!$X$39:$X$49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Pivots!$Y$39:$Y$49</c:f>
              <c:numCache>
                <c:formatCode>_("₹"* #,##0_);_("₹"* \(#,##0\);_("₹"* "-"_);_(@_)</c:formatCode>
                <c:ptCount val="10"/>
                <c:pt idx="0">
                  <c:v>382000</c:v>
                </c:pt>
                <c:pt idx="1">
                  <c:v>410000</c:v>
                </c:pt>
                <c:pt idx="2">
                  <c:v>464000</c:v>
                </c:pt>
                <c:pt idx="3">
                  <c:v>440000</c:v>
                </c:pt>
                <c:pt idx="4">
                  <c:v>448000</c:v>
                </c:pt>
                <c:pt idx="5">
                  <c:v>451000</c:v>
                </c:pt>
                <c:pt idx="6">
                  <c:v>454000</c:v>
                </c:pt>
                <c:pt idx="7">
                  <c:v>506000</c:v>
                </c:pt>
                <c:pt idx="8">
                  <c:v>519000</c:v>
                </c:pt>
                <c:pt idx="9">
                  <c:v>528000</c:v>
                </c:pt>
              </c:numCache>
            </c:numRef>
          </c:val>
          <c:extLst>
            <c:ext xmlns:c16="http://schemas.microsoft.com/office/drawing/2014/chart" uri="{C3380CC4-5D6E-409C-BE32-E72D297353CC}">
              <c16:uniqueId val="{00000000-7D57-41A3-8A5A-D8717917CE78}"/>
            </c:ext>
          </c:extLst>
        </c:ser>
        <c:ser>
          <c:idx val="1"/>
          <c:order val="1"/>
          <c:tx>
            <c:strRef>
              <c:f>Pivots!$Z$38</c:f>
              <c:strCache>
                <c:ptCount val="1"/>
                <c:pt idx="0">
                  <c:v>Sum of Revenue</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Pivots!$X$39:$X$49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Pivots!$Z$39:$Z$49</c:f>
              <c:numCache>
                <c:formatCode>_("₹"* #,##0_);_("₹"* \(#,##0\);_("₹"* "-"_);_(@_)</c:formatCode>
                <c:ptCount val="10"/>
                <c:pt idx="0">
                  <c:v>849000</c:v>
                </c:pt>
                <c:pt idx="1">
                  <c:v>885000</c:v>
                </c:pt>
                <c:pt idx="2">
                  <c:v>1006000</c:v>
                </c:pt>
                <c:pt idx="3">
                  <c:v>938000</c:v>
                </c:pt>
                <c:pt idx="4">
                  <c:v>967000</c:v>
                </c:pt>
                <c:pt idx="5">
                  <c:v>979000</c:v>
                </c:pt>
                <c:pt idx="6">
                  <c:v>992000</c:v>
                </c:pt>
                <c:pt idx="7">
                  <c:v>1080000</c:v>
                </c:pt>
                <c:pt idx="8">
                  <c:v>1117000</c:v>
                </c:pt>
                <c:pt idx="9">
                  <c:v>1136000</c:v>
                </c:pt>
              </c:numCache>
            </c:numRef>
          </c:val>
          <c:extLst>
            <c:ext xmlns:c16="http://schemas.microsoft.com/office/drawing/2014/chart" uri="{C3380CC4-5D6E-409C-BE32-E72D297353CC}">
              <c16:uniqueId val="{00000001-7D57-41A3-8A5A-D8717917CE78}"/>
            </c:ext>
          </c:extLst>
        </c:ser>
        <c:dLbls>
          <c:dLblPos val="outEnd"/>
          <c:showLegendKey val="0"/>
          <c:showVal val="1"/>
          <c:showCatName val="0"/>
          <c:showSerName val="0"/>
          <c:showPercent val="0"/>
          <c:showBubbleSize val="0"/>
        </c:dLbls>
        <c:gapWidth val="100"/>
        <c:overlap val="-24"/>
        <c:axId val="202586543"/>
        <c:axId val="202590383"/>
      </c:barChart>
      <c:catAx>
        <c:axId val="2025865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590383"/>
        <c:crosses val="autoZero"/>
        <c:auto val="1"/>
        <c:lblAlgn val="ctr"/>
        <c:lblOffset val="100"/>
        <c:noMultiLvlLbl val="0"/>
      </c:catAx>
      <c:valAx>
        <c:axId val="202590383"/>
        <c:scaling>
          <c:orientation val="minMax"/>
        </c:scaling>
        <c:delete val="1"/>
        <c:axPos val="l"/>
        <c:numFmt formatCode="_(&quot;₹&quot;* #,##0_);_(&quot;₹&quot;* \(#,##0\);_(&quot;₹&quot;* &quot;-&quot;_);_(@_)" sourceLinked="1"/>
        <c:majorTickMark val="none"/>
        <c:minorTickMark val="none"/>
        <c:tickLblPos val="nextTo"/>
        <c:crossAx val="20258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[Finance_Dashboard.xlsx]Pivots!PivotTable13</c:name>
    <c:fmtId val="3"/>
  </c:pivotSource>
  <c:chart>
    <c:title>
      <c:tx>
        <c:rich>
          <a:bodyPr rot="0" spcFirstLastPara="1" vertOverflow="ellipsis" vert="horz" wrap="square" anchor="ctr" anchorCtr="1"/>
          <a:lstStyle/>
          <a:p>
            <a:pPr>
              <a:defRPr sz="1600" b="1" i="0" u="none" strike="noStrike" kern="1200" cap="all" spc="120" normalizeH="0" baseline="0">
                <a:solidFill>
                  <a:srgbClr val="002060"/>
                </a:solidFill>
                <a:latin typeface="+mn-lt"/>
                <a:ea typeface="+mn-ea"/>
                <a:cs typeface="+mn-cs"/>
              </a:defRPr>
            </a:pPr>
            <a:r>
              <a:rPr lang="en-US">
                <a:solidFill>
                  <a:srgbClr val="002060"/>
                </a:solidFill>
              </a:rPr>
              <a:t>Monthly Net Profit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0070C0"/>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Pivots!$AC$7</c:f>
              <c:strCache>
                <c:ptCount val="1"/>
                <c:pt idx="0">
                  <c:v>Total</c:v>
                </c:pt>
              </c:strCache>
            </c:strRef>
          </c:tx>
          <c:spPr>
            <a:ln w="22225" cap="rnd">
              <a:solidFill>
                <a:srgbClr val="0070C0"/>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Pivots!$AB$8:$AB$18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Pivots!$AC$8:$AC$18</c:f>
              <c:numCache>
                <c:formatCode>_("₹"* #,##0_);_("₹"* \(#,##0\);_("₹"* "-"_);_(@_)</c:formatCode>
                <c:ptCount val="10"/>
                <c:pt idx="0">
                  <c:v>396950</c:v>
                </c:pt>
                <c:pt idx="1">
                  <c:v>403750</c:v>
                </c:pt>
                <c:pt idx="2">
                  <c:v>460700</c:v>
                </c:pt>
                <c:pt idx="3">
                  <c:v>423300</c:v>
                </c:pt>
                <c:pt idx="4">
                  <c:v>441150</c:v>
                </c:pt>
                <c:pt idx="5">
                  <c:v>448800</c:v>
                </c:pt>
                <c:pt idx="6">
                  <c:v>457300</c:v>
                </c:pt>
                <c:pt idx="7">
                  <c:v>487900</c:v>
                </c:pt>
                <c:pt idx="8">
                  <c:v>508300</c:v>
                </c:pt>
                <c:pt idx="9">
                  <c:v>516800</c:v>
                </c:pt>
              </c:numCache>
            </c:numRef>
          </c:val>
          <c:smooth val="0"/>
          <c:extLst>
            <c:ext xmlns:c16="http://schemas.microsoft.com/office/drawing/2014/chart" uri="{C3380CC4-5D6E-409C-BE32-E72D297353CC}">
              <c16:uniqueId val="{00000000-07D5-488E-A717-662920EAB25C}"/>
            </c:ext>
          </c:extLst>
        </c:ser>
        <c:dLbls>
          <c:dLblPos val="t"/>
          <c:showLegendKey val="0"/>
          <c:showVal val="1"/>
          <c:showCatName val="0"/>
          <c:showSerName val="0"/>
          <c:showPercent val="0"/>
          <c:showBubbleSize val="0"/>
        </c:dLbls>
        <c:marker val="1"/>
        <c:smooth val="0"/>
        <c:axId val="234711311"/>
        <c:axId val="234714671"/>
      </c:lineChart>
      <c:catAx>
        <c:axId val="23471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34714671"/>
        <c:crosses val="autoZero"/>
        <c:auto val="1"/>
        <c:lblAlgn val="ctr"/>
        <c:lblOffset val="100"/>
        <c:noMultiLvlLbl val="0"/>
      </c:catAx>
      <c:valAx>
        <c:axId val="234714671"/>
        <c:scaling>
          <c:orientation val="minMax"/>
        </c:scaling>
        <c:delete val="1"/>
        <c:axPos val="l"/>
        <c:numFmt formatCode="_(&quot;₹&quot;* #,##0_);_(&quot;₹&quot;* \(#,##0\);_(&quot;₹&quot;* &quot;-&quot;_);_(@_)" sourceLinked="1"/>
        <c:majorTickMark val="none"/>
        <c:minorTickMark val="none"/>
        <c:tickLblPos val="nextTo"/>
        <c:crossAx val="23471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[Finance_Dashboard.xlsx]Pivots!PivotTable14</c:name>
    <c:fmtId val="3"/>
  </c:pivotSource>
  <c:chart>
    <c:title>
      <c:tx>
        <c:rich>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r>
              <a:rPr lang="en-US">
                <a:solidFill>
                  <a:srgbClr val="002060"/>
                </a:solidFill>
              </a:rPr>
              <a:t>Profit Margin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Pivots!$AC$24</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Pivots!$AB$25:$AB$29</c:f>
              <c:strCache>
                <c:ptCount val="4"/>
                <c:pt idx="0">
                  <c:v>East</c:v>
                </c:pt>
                <c:pt idx="1">
                  <c:v>North</c:v>
                </c:pt>
                <c:pt idx="2">
                  <c:v>South</c:v>
                </c:pt>
                <c:pt idx="3">
                  <c:v>West</c:v>
                </c:pt>
              </c:strCache>
            </c:strRef>
          </c:cat>
          <c:val>
            <c:numRef>
              <c:f>Pivots!$AC$25:$AC$29</c:f>
              <c:numCache>
                <c:formatCode>_("₹"* #,##0_);_("₹"* \(#,##0\);_("₹"* "-"_);_(@_)</c:formatCode>
                <c:ptCount val="4"/>
                <c:pt idx="0">
                  <c:v>45016</c:v>
                </c:pt>
                <c:pt idx="1">
                  <c:v>43690</c:v>
                </c:pt>
                <c:pt idx="2">
                  <c:v>45998.076923076922</c:v>
                </c:pt>
                <c:pt idx="3">
                  <c:v>45254</c:v>
                </c:pt>
              </c:numCache>
            </c:numRef>
          </c:val>
          <c:extLst>
            <c:ext xmlns:c16="http://schemas.microsoft.com/office/drawing/2014/chart" uri="{C3380CC4-5D6E-409C-BE32-E72D297353CC}">
              <c16:uniqueId val="{00000000-D69B-4D0B-BCA9-7B938EE88FD9}"/>
            </c:ext>
          </c:extLst>
        </c:ser>
        <c:dLbls>
          <c:dLblPos val="outEnd"/>
          <c:showLegendKey val="0"/>
          <c:showVal val="1"/>
          <c:showCatName val="0"/>
          <c:showSerName val="0"/>
          <c:showPercent val="0"/>
          <c:showBubbleSize val="0"/>
        </c:dLbls>
        <c:gapWidth val="326"/>
        <c:overlap val="-58"/>
        <c:axId val="182032543"/>
        <c:axId val="182036863"/>
      </c:barChart>
      <c:catAx>
        <c:axId val="1820325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6863"/>
        <c:crosses val="autoZero"/>
        <c:auto val="1"/>
        <c:lblAlgn val="ctr"/>
        <c:lblOffset val="100"/>
        <c:noMultiLvlLbl val="0"/>
      </c:catAx>
      <c:valAx>
        <c:axId val="182036863"/>
        <c:scaling>
          <c:orientation val="minMax"/>
        </c:scaling>
        <c:delete val="1"/>
        <c:axPos val="b"/>
        <c:numFmt formatCode="_(&quot;₹&quot;* #,##0_);_(&quot;₹&quot;* \(#,##0\);_(&quot;₹&quot;* &quot;-&quot;_);_(@_)" sourceLinked="1"/>
        <c:majorTickMark val="none"/>
        <c:minorTickMark val="none"/>
        <c:tickLblPos val="nextTo"/>
        <c:crossAx val="18203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[Finance_Dashboard.xlsx]Pivots!PivotTable15</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Revenue to Profit Conversion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92117568470273E-2"/>
          <c:y val="0.14282578314074376"/>
          <c:w val="0.81004646108734124"/>
          <c:h val="0.77839383713399457"/>
        </c:manualLayout>
      </c:layout>
      <c:barChart>
        <c:barDir val="col"/>
        <c:grouping val="clustered"/>
        <c:varyColors val="0"/>
        <c:ser>
          <c:idx val="0"/>
          <c:order val="0"/>
          <c:tx>
            <c:strRef>
              <c:f>Pivots!$AC$35</c:f>
              <c:strCache>
                <c:ptCount val="1"/>
                <c:pt idx="0">
                  <c:v>Sum of Revenue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Pivots!$AB$36:$AB$46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Pivots!$AC$36:$AC$46</c:f>
              <c:numCache>
                <c:formatCode>General</c:formatCode>
                <c:ptCount val="10"/>
                <c:pt idx="0">
                  <c:v>849000</c:v>
                </c:pt>
                <c:pt idx="1">
                  <c:v>885000</c:v>
                </c:pt>
                <c:pt idx="2">
                  <c:v>1006000</c:v>
                </c:pt>
                <c:pt idx="3">
                  <c:v>938000</c:v>
                </c:pt>
                <c:pt idx="4">
                  <c:v>967000</c:v>
                </c:pt>
                <c:pt idx="5">
                  <c:v>979000</c:v>
                </c:pt>
                <c:pt idx="6">
                  <c:v>992000</c:v>
                </c:pt>
                <c:pt idx="7">
                  <c:v>1080000</c:v>
                </c:pt>
                <c:pt idx="8">
                  <c:v>1117000</c:v>
                </c:pt>
                <c:pt idx="9">
                  <c:v>1136000</c:v>
                </c:pt>
              </c:numCache>
            </c:numRef>
          </c:val>
          <c:extLst>
            <c:ext xmlns:c16="http://schemas.microsoft.com/office/drawing/2014/chart" uri="{C3380CC4-5D6E-409C-BE32-E72D297353CC}">
              <c16:uniqueId val="{00000000-AB21-4DDE-8D6C-008E522E0660}"/>
            </c:ext>
          </c:extLst>
        </c:ser>
        <c:dLbls>
          <c:showLegendKey val="0"/>
          <c:showVal val="1"/>
          <c:showCatName val="0"/>
          <c:showSerName val="0"/>
          <c:showPercent val="0"/>
          <c:showBubbleSize val="0"/>
        </c:dLbls>
        <c:gapWidth val="219"/>
        <c:overlap val="-27"/>
        <c:axId val="202590863"/>
        <c:axId val="202579343"/>
      </c:barChart>
      <c:lineChart>
        <c:grouping val="standard"/>
        <c:varyColors val="0"/>
        <c:ser>
          <c:idx val="1"/>
          <c:order val="1"/>
          <c:tx>
            <c:strRef>
              <c:f>Pivots!$AD$35</c:f>
              <c:strCache>
                <c:ptCount val="1"/>
                <c:pt idx="0">
                  <c:v>Sum of NetProfit</c:v>
                </c:pt>
              </c:strCache>
            </c:strRef>
          </c:tx>
          <c:spPr>
            <a:ln w="28575" cap="rnd">
              <a:solidFill>
                <a:schemeClr val="accent5">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Pivots!$AB$36:$AB$46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Pivots!$AD$36:$AD$46</c:f>
              <c:numCache>
                <c:formatCode>General</c:formatCode>
                <c:ptCount val="10"/>
                <c:pt idx="0">
                  <c:v>396950</c:v>
                </c:pt>
                <c:pt idx="1">
                  <c:v>403750</c:v>
                </c:pt>
                <c:pt idx="2">
                  <c:v>460700</c:v>
                </c:pt>
                <c:pt idx="3">
                  <c:v>423300</c:v>
                </c:pt>
                <c:pt idx="4">
                  <c:v>441150</c:v>
                </c:pt>
                <c:pt idx="5">
                  <c:v>448800</c:v>
                </c:pt>
                <c:pt idx="6">
                  <c:v>457300</c:v>
                </c:pt>
                <c:pt idx="7">
                  <c:v>487900</c:v>
                </c:pt>
                <c:pt idx="8">
                  <c:v>508300</c:v>
                </c:pt>
                <c:pt idx="9">
                  <c:v>516800</c:v>
                </c:pt>
              </c:numCache>
            </c:numRef>
          </c:val>
          <c:smooth val="0"/>
          <c:extLst>
            <c:ext xmlns:c16="http://schemas.microsoft.com/office/drawing/2014/chart" uri="{C3380CC4-5D6E-409C-BE32-E72D297353CC}">
              <c16:uniqueId val="{00000001-AB21-4DDE-8D6C-008E522E0660}"/>
            </c:ext>
          </c:extLst>
        </c:ser>
        <c:dLbls>
          <c:showLegendKey val="0"/>
          <c:showVal val="1"/>
          <c:showCatName val="0"/>
          <c:showSerName val="0"/>
          <c:showPercent val="0"/>
          <c:showBubbleSize val="0"/>
        </c:dLbls>
        <c:marker val="1"/>
        <c:smooth val="0"/>
        <c:axId val="202590863"/>
        <c:axId val="202579343"/>
      </c:lineChart>
      <c:catAx>
        <c:axId val="2025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79343"/>
        <c:crosses val="autoZero"/>
        <c:auto val="1"/>
        <c:lblAlgn val="ctr"/>
        <c:lblOffset val="100"/>
        <c:noMultiLvlLbl val="0"/>
      </c:catAx>
      <c:valAx>
        <c:axId val="202579343"/>
        <c:scaling>
          <c:orientation val="minMax"/>
        </c:scaling>
        <c:delete val="1"/>
        <c:axPos val="l"/>
        <c:numFmt formatCode="General" sourceLinked="1"/>
        <c:majorTickMark val="none"/>
        <c:minorTickMark val="none"/>
        <c:tickLblPos val="nextTo"/>
        <c:crossAx val="202590863"/>
        <c:crosses val="autoZero"/>
        <c:crossBetween val="between"/>
      </c:valAx>
      <c:spPr>
        <a:noFill/>
        <a:ln>
          <a:noFill/>
        </a:ln>
        <a:effectLst/>
      </c:spPr>
    </c:plotArea>
    <c:legend>
      <c:legendPos val="r"/>
      <c:layout>
        <c:manualLayout>
          <c:xMode val="edge"/>
          <c:yMode val="edge"/>
          <c:x val="0.85536883232061744"/>
          <c:y val="7.6019378174743066E-2"/>
          <c:w val="0.13127098838672563"/>
          <c:h val="0.32752980504302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[Finance_Dashboard.xlsx]Pivots!PivotTable16</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Revenue vs Profit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Pivots!$AF$7</c:f>
              <c:strCache>
                <c:ptCount val="1"/>
                <c:pt idx="0">
                  <c:v>Sum of Revenue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Pivots!$AE$8:$AE$12</c:f>
              <c:strCache>
                <c:ptCount val="4"/>
                <c:pt idx="0">
                  <c:v>East</c:v>
                </c:pt>
                <c:pt idx="1">
                  <c:v>North</c:v>
                </c:pt>
                <c:pt idx="2">
                  <c:v>South</c:v>
                </c:pt>
                <c:pt idx="3">
                  <c:v>West</c:v>
                </c:pt>
              </c:strCache>
            </c:strRef>
          </c:cat>
          <c:val>
            <c:numRef>
              <c:f>Pivots!$AF$8:$AF$12</c:f>
              <c:numCache>
                <c:formatCode>_("₹"* #,##0_);_("₹"* \(#,##0\);_("₹"* "-"_);_(@_)</c:formatCode>
                <c:ptCount val="4"/>
                <c:pt idx="0">
                  <c:v>2455000</c:v>
                </c:pt>
                <c:pt idx="1">
                  <c:v>2409000</c:v>
                </c:pt>
                <c:pt idx="2">
                  <c:v>2609000</c:v>
                </c:pt>
                <c:pt idx="3">
                  <c:v>2476000</c:v>
                </c:pt>
              </c:numCache>
            </c:numRef>
          </c:val>
          <c:extLst>
            <c:ext xmlns:c16="http://schemas.microsoft.com/office/drawing/2014/chart" uri="{C3380CC4-5D6E-409C-BE32-E72D297353CC}">
              <c16:uniqueId val="{00000000-ED1A-427E-944F-5F31AB351296}"/>
            </c:ext>
          </c:extLst>
        </c:ser>
        <c:ser>
          <c:idx val="1"/>
          <c:order val="1"/>
          <c:tx>
            <c:strRef>
              <c:f>Pivots!$AG$7</c:f>
              <c:strCache>
                <c:ptCount val="1"/>
                <c:pt idx="0">
                  <c:v>Sum of NetProfit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Pivots!$AE$8:$AE$12</c:f>
              <c:strCache>
                <c:ptCount val="4"/>
                <c:pt idx="0">
                  <c:v>East</c:v>
                </c:pt>
                <c:pt idx="1">
                  <c:v>North</c:v>
                </c:pt>
                <c:pt idx="2">
                  <c:v>South</c:v>
                </c:pt>
                <c:pt idx="3">
                  <c:v>West</c:v>
                </c:pt>
              </c:strCache>
            </c:strRef>
          </c:cat>
          <c:val>
            <c:numRef>
              <c:f>Pivots!$AG$8:$AG$12</c:f>
              <c:numCache>
                <c:formatCode>_("₹"* #,##0_);_("₹"* \(#,##0\);_("₹"* "-"_);_(@_)</c:formatCode>
                <c:ptCount val="4"/>
                <c:pt idx="0">
                  <c:v>1125400</c:v>
                </c:pt>
                <c:pt idx="1">
                  <c:v>1092250</c:v>
                </c:pt>
                <c:pt idx="2">
                  <c:v>1195950</c:v>
                </c:pt>
                <c:pt idx="3">
                  <c:v>1131350</c:v>
                </c:pt>
              </c:numCache>
            </c:numRef>
          </c:val>
          <c:extLst>
            <c:ext xmlns:c16="http://schemas.microsoft.com/office/drawing/2014/chart" uri="{C3380CC4-5D6E-409C-BE32-E72D297353CC}">
              <c16:uniqueId val="{00000001-ED1A-427E-944F-5F31AB351296}"/>
            </c:ext>
          </c:extLst>
        </c:ser>
        <c:dLbls>
          <c:dLblPos val="outEnd"/>
          <c:showLegendKey val="0"/>
          <c:showVal val="1"/>
          <c:showCatName val="0"/>
          <c:showSerName val="0"/>
          <c:showPercent val="0"/>
          <c:showBubbleSize val="0"/>
        </c:dLbls>
        <c:gapWidth val="219"/>
        <c:overlap val="-27"/>
        <c:axId val="233307487"/>
        <c:axId val="233310847"/>
      </c:barChart>
      <c:catAx>
        <c:axId val="2333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310847"/>
        <c:crosses val="autoZero"/>
        <c:auto val="1"/>
        <c:lblAlgn val="ctr"/>
        <c:lblOffset val="100"/>
        <c:noMultiLvlLbl val="0"/>
      </c:catAx>
      <c:valAx>
        <c:axId val="233310847"/>
        <c:scaling>
          <c:orientation val="minMax"/>
        </c:scaling>
        <c:delete val="1"/>
        <c:axPos val="l"/>
        <c:numFmt formatCode="_(&quot;₹&quot;* #,##0_);_(&quot;₹&quot;* \(#,##0\);_(&quot;₹&quot;* &quot;-&quot;_);_(@_)" sourceLinked="1"/>
        <c:majorTickMark val="none"/>
        <c:minorTickMark val="none"/>
        <c:tickLblPos val="nextTo"/>
        <c:crossAx val="233307487"/>
        <c:crosses val="autoZero"/>
        <c:crossBetween val="between"/>
      </c:valAx>
      <c:spPr>
        <a:noFill/>
        <a:ln>
          <a:noFill/>
        </a:ln>
        <a:effectLst/>
      </c:spPr>
    </c:plotArea>
    <c:legend>
      <c:legendPos val="r"/>
      <c:layout>
        <c:manualLayout>
          <c:xMode val="edge"/>
          <c:yMode val="edge"/>
          <c:x val="0.76079361790302524"/>
          <c:y val="0.32486038203557888"/>
          <c:w val="0.16990813648293962"/>
          <c:h val="0.3090288713910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[Finance_Dashboard.xlsx]Pivots!PivotTable17</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Budget vs Actual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Pivots!$AK$7</c:f>
              <c:strCache>
                <c:ptCount val="1"/>
                <c:pt idx="0">
                  <c:v>Sum of Budget</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Pivots!$AJ$8:$AJ$18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Pivots!$AK$8:$AK$18</c:f>
              <c:numCache>
                <c:formatCode>_("₹"* #,##0_);_("₹"* \(#,##0\);_("₹"* "-"_);_(@_)</c:formatCode>
                <c:ptCount val="10"/>
                <c:pt idx="0">
                  <c:v>823000</c:v>
                </c:pt>
                <c:pt idx="1">
                  <c:v>866000</c:v>
                </c:pt>
                <c:pt idx="2">
                  <c:v>982000</c:v>
                </c:pt>
                <c:pt idx="3">
                  <c:v>918000</c:v>
                </c:pt>
                <c:pt idx="4">
                  <c:v>946000</c:v>
                </c:pt>
                <c:pt idx="5">
                  <c:v>957000</c:v>
                </c:pt>
                <c:pt idx="6">
                  <c:v>972000</c:v>
                </c:pt>
                <c:pt idx="7">
                  <c:v>1058000</c:v>
                </c:pt>
                <c:pt idx="8">
                  <c:v>1096000</c:v>
                </c:pt>
                <c:pt idx="9">
                  <c:v>1116000</c:v>
                </c:pt>
              </c:numCache>
            </c:numRef>
          </c:val>
          <c:extLst>
            <c:ext xmlns:c16="http://schemas.microsoft.com/office/drawing/2014/chart" uri="{C3380CC4-5D6E-409C-BE32-E72D297353CC}">
              <c16:uniqueId val="{00000000-53A4-4040-8BE6-273CB3BB7A72}"/>
            </c:ext>
          </c:extLst>
        </c:ser>
        <c:dLbls>
          <c:dLblPos val="inBase"/>
          <c:showLegendKey val="0"/>
          <c:showVal val="1"/>
          <c:showCatName val="0"/>
          <c:showSerName val="0"/>
          <c:showPercent val="0"/>
          <c:showBubbleSize val="0"/>
        </c:dLbls>
        <c:gapWidth val="219"/>
        <c:overlap val="-27"/>
        <c:axId val="181717839"/>
        <c:axId val="181706799"/>
      </c:barChart>
      <c:lineChart>
        <c:grouping val="standard"/>
        <c:varyColors val="0"/>
        <c:ser>
          <c:idx val="1"/>
          <c:order val="1"/>
          <c:tx>
            <c:strRef>
              <c:f>Pivots!$AL$7</c:f>
              <c:strCache>
                <c:ptCount val="1"/>
                <c:pt idx="0">
                  <c:v>Sum of Revenue</c:v>
                </c:pt>
              </c:strCache>
            </c:strRef>
          </c:tx>
          <c:spPr>
            <a:ln w="28575" cap="rnd">
              <a:solidFill>
                <a:schemeClr val="accent5">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Pivots!$AJ$8:$AJ$18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Pivots!$AL$8:$AL$18</c:f>
              <c:numCache>
                <c:formatCode>_("₹"* #,##0_);_("₹"* \(#,##0\);_("₹"* "-"_);_(@_)</c:formatCode>
                <c:ptCount val="10"/>
                <c:pt idx="0">
                  <c:v>849000</c:v>
                </c:pt>
                <c:pt idx="1">
                  <c:v>885000</c:v>
                </c:pt>
                <c:pt idx="2">
                  <c:v>1006000</c:v>
                </c:pt>
                <c:pt idx="3">
                  <c:v>938000</c:v>
                </c:pt>
                <c:pt idx="4">
                  <c:v>967000</c:v>
                </c:pt>
                <c:pt idx="5">
                  <c:v>979000</c:v>
                </c:pt>
                <c:pt idx="6">
                  <c:v>992000</c:v>
                </c:pt>
                <c:pt idx="7">
                  <c:v>1080000</c:v>
                </c:pt>
                <c:pt idx="8">
                  <c:v>1117000</c:v>
                </c:pt>
                <c:pt idx="9">
                  <c:v>1136000</c:v>
                </c:pt>
              </c:numCache>
            </c:numRef>
          </c:val>
          <c:smooth val="0"/>
          <c:extLst>
            <c:ext xmlns:c16="http://schemas.microsoft.com/office/drawing/2014/chart" uri="{C3380CC4-5D6E-409C-BE32-E72D297353CC}">
              <c16:uniqueId val="{00000001-53A4-4040-8BE6-273CB3BB7A72}"/>
            </c:ext>
          </c:extLst>
        </c:ser>
        <c:dLbls>
          <c:showLegendKey val="0"/>
          <c:showVal val="1"/>
          <c:showCatName val="0"/>
          <c:showSerName val="0"/>
          <c:showPercent val="0"/>
          <c:showBubbleSize val="0"/>
        </c:dLbls>
        <c:marker val="1"/>
        <c:smooth val="0"/>
        <c:axId val="181717839"/>
        <c:axId val="181706799"/>
      </c:lineChart>
      <c:catAx>
        <c:axId val="1817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06799"/>
        <c:crosses val="autoZero"/>
        <c:auto val="1"/>
        <c:lblAlgn val="ctr"/>
        <c:lblOffset val="100"/>
        <c:noMultiLvlLbl val="0"/>
      </c:catAx>
      <c:valAx>
        <c:axId val="181706799"/>
        <c:scaling>
          <c:orientation val="minMax"/>
        </c:scaling>
        <c:delete val="1"/>
        <c:axPos val="l"/>
        <c:numFmt formatCode="_(&quot;₹&quot;* #,##0_);_(&quot;₹&quot;* \(#,##0\);_(&quot;₹&quot;* &quot;-&quot;_);_(@_)" sourceLinked="1"/>
        <c:majorTickMark val="none"/>
        <c:minorTickMark val="none"/>
        <c:tickLblPos val="nextTo"/>
        <c:crossAx val="181717839"/>
        <c:crosses val="autoZero"/>
        <c:crossBetween val="between"/>
      </c:valAx>
      <c:spPr>
        <a:noFill/>
        <a:ln>
          <a:noFill/>
        </a:ln>
        <a:effectLst/>
      </c:spPr>
    </c:plotArea>
    <c:legend>
      <c:legendPos val="r"/>
      <c:layout>
        <c:manualLayout>
          <c:xMode val="edge"/>
          <c:yMode val="edge"/>
          <c:x val="0.88006891983487201"/>
          <c:y val="0.2646751968503937"/>
          <c:w val="0.1097400590623501"/>
          <c:h val="0.37384368620589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[Finance_Dashboard.xlsx]Pivots!PivotTable18</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rPr>
              <a:t>Department Budget Variance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Pivots!$AK$24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Pivots!$AJ$25:$AJ$32</c:f>
              <c:strCache>
                <c:ptCount val="7"/>
                <c:pt idx="0">
                  <c:v>Accounts</c:v>
                </c:pt>
                <c:pt idx="1">
                  <c:v>Finance</c:v>
                </c:pt>
                <c:pt idx="2">
                  <c:v>HR</c:v>
                </c:pt>
                <c:pt idx="3">
                  <c:v>IT</c:v>
                </c:pt>
                <c:pt idx="4">
                  <c:v>Marketing</c:v>
                </c:pt>
                <c:pt idx="5">
                  <c:v>Operations</c:v>
                </c:pt>
                <c:pt idx="6">
                  <c:v>Sales</c:v>
                </c:pt>
              </c:strCache>
            </c:strRef>
          </c:cat>
          <c:val>
            <c:numRef>
              <c:f>Pivots!$AK$25:$AK$32</c:f>
              <c:numCache>
                <c:formatCode>_("₹"* #,##0_);_("₹"* \(#,##0\);_("₹"* "-"_);_(@_)</c:formatCode>
                <c:ptCount val="7"/>
                <c:pt idx="0">
                  <c:v>23000</c:v>
                </c:pt>
                <c:pt idx="1">
                  <c:v>24000</c:v>
                </c:pt>
                <c:pt idx="2">
                  <c:v>20000</c:v>
                </c:pt>
                <c:pt idx="3">
                  <c:v>36000</c:v>
                </c:pt>
                <c:pt idx="4">
                  <c:v>32000</c:v>
                </c:pt>
                <c:pt idx="5">
                  <c:v>22000</c:v>
                </c:pt>
                <c:pt idx="6">
                  <c:v>58000</c:v>
                </c:pt>
              </c:numCache>
            </c:numRef>
          </c:val>
          <c:extLst>
            <c:ext xmlns:c16="http://schemas.microsoft.com/office/drawing/2014/chart" uri="{C3380CC4-5D6E-409C-BE32-E72D297353CC}">
              <c16:uniqueId val="{00000000-FEA6-40EA-8DC0-3DB940FC629E}"/>
            </c:ext>
          </c:extLst>
        </c:ser>
        <c:dLbls>
          <c:dLblPos val="outEnd"/>
          <c:showLegendKey val="0"/>
          <c:showVal val="1"/>
          <c:showCatName val="0"/>
          <c:showSerName val="0"/>
          <c:showPercent val="0"/>
          <c:showBubbleSize val="0"/>
        </c:dLbls>
        <c:gapWidth val="115"/>
        <c:overlap val="-20"/>
        <c:axId val="181716879"/>
        <c:axId val="181702959"/>
      </c:barChart>
      <c:catAx>
        <c:axId val="1817168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02959"/>
        <c:crosses val="autoZero"/>
        <c:auto val="1"/>
        <c:lblAlgn val="ctr"/>
        <c:lblOffset val="100"/>
        <c:noMultiLvlLbl val="0"/>
      </c:catAx>
      <c:valAx>
        <c:axId val="181702959"/>
        <c:scaling>
          <c:orientation val="minMax"/>
        </c:scaling>
        <c:delete val="1"/>
        <c:axPos val="b"/>
        <c:numFmt formatCode="_(&quot;₹&quot;* #,##0_);_(&quot;₹&quot;* \(#,##0\);_(&quot;₹&quot;* &quot;-&quot;_);_(@_)" sourceLinked="1"/>
        <c:majorTickMark val="none"/>
        <c:minorTickMark val="none"/>
        <c:tickLblPos val="nextTo"/>
        <c:crossAx val="18171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[Finance_Dashboard.xlsx]Pivots!PivotTable19</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Budget Accuracy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Pivots!$AK$38</c:f>
              <c:strCache>
                <c:ptCount val="1"/>
                <c:pt idx="0">
                  <c:v>Total</c:v>
                </c:pt>
              </c:strCache>
            </c:strRef>
          </c:tx>
          <c:spPr>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Pivots!$AJ$39:$AJ$49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Pivots!$AK$39:$AK$49</c:f>
              <c:numCache>
                <c:formatCode>_("₹"* #,##0_);_("₹"* \(#,##0\);_("₹"* "-"_);_(@_)</c:formatCode>
                <c:ptCount val="10"/>
                <c:pt idx="0">
                  <c:v>2600</c:v>
                </c:pt>
                <c:pt idx="1">
                  <c:v>1900</c:v>
                </c:pt>
                <c:pt idx="2">
                  <c:v>2181.818181818182</c:v>
                </c:pt>
                <c:pt idx="3">
                  <c:v>2000</c:v>
                </c:pt>
                <c:pt idx="4">
                  <c:v>2100</c:v>
                </c:pt>
                <c:pt idx="5">
                  <c:v>2200</c:v>
                </c:pt>
                <c:pt idx="6">
                  <c:v>2000</c:v>
                </c:pt>
                <c:pt idx="7">
                  <c:v>2200</c:v>
                </c:pt>
                <c:pt idx="8">
                  <c:v>2100</c:v>
                </c:pt>
                <c:pt idx="9">
                  <c:v>2000</c:v>
                </c:pt>
              </c:numCache>
            </c:numRef>
          </c:val>
          <c:smooth val="0"/>
          <c:extLst>
            <c:ext xmlns:c16="http://schemas.microsoft.com/office/drawing/2014/chart" uri="{C3380CC4-5D6E-409C-BE32-E72D297353CC}">
              <c16:uniqueId val="{00000000-F231-443B-A966-B6E2CFF96CAC}"/>
            </c:ext>
          </c:extLst>
        </c:ser>
        <c:dLbls>
          <c:dLblPos val="t"/>
          <c:showLegendKey val="0"/>
          <c:showVal val="1"/>
          <c:showCatName val="0"/>
          <c:showSerName val="0"/>
          <c:showPercent val="0"/>
          <c:showBubbleSize val="0"/>
        </c:dLbls>
        <c:marker val="1"/>
        <c:smooth val="0"/>
        <c:axId val="278829279"/>
        <c:axId val="278816799"/>
      </c:lineChart>
      <c:catAx>
        <c:axId val="27882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16799"/>
        <c:crosses val="autoZero"/>
        <c:auto val="1"/>
        <c:lblAlgn val="ctr"/>
        <c:lblOffset val="100"/>
        <c:noMultiLvlLbl val="0"/>
      </c:catAx>
      <c:valAx>
        <c:axId val="278816799"/>
        <c:scaling>
          <c:orientation val="minMax"/>
        </c:scaling>
        <c:delete val="1"/>
        <c:axPos val="l"/>
        <c:numFmt formatCode="_(&quot;₹&quot;* #,##0_);_(&quot;₹&quot;* \(#,##0\);_(&quot;₹&quot;* &quot;-&quot;_);_(@_)" sourceLinked="1"/>
        <c:majorTickMark val="none"/>
        <c:minorTickMark val="none"/>
        <c:tickLblPos val="nextTo"/>
        <c:crossAx val="27882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[Finance_Dashboard.xlsx]Pivots!PivotTable20</c:name>
    <c:fmtId val="3"/>
  </c:pivotSource>
  <c:chart>
    <c:title>
      <c:tx>
        <c:rich>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r>
              <a:rPr lang="en-US" sz="1600">
                <a:solidFill>
                  <a:srgbClr val="002060"/>
                </a:solidFill>
              </a:rPr>
              <a:t>Regional Budget Performance</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Pivots!$AO$7</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Pivots!$AN$8:$AN$12</c:f>
              <c:strCache>
                <c:ptCount val="4"/>
                <c:pt idx="0">
                  <c:v>East</c:v>
                </c:pt>
                <c:pt idx="1">
                  <c:v>North</c:v>
                </c:pt>
                <c:pt idx="2">
                  <c:v>South</c:v>
                </c:pt>
                <c:pt idx="3">
                  <c:v>West</c:v>
                </c:pt>
              </c:strCache>
            </c:strRef>
          </c:cat>
          <c:val>
            <c:numRef>
              <c:f>Pivots!$AO$8:$AO$12</c:f>
              <c:numCache>
                <c:formatCode>_("₹"* #,##0_);_("₹"* \(#,##0\);_("₹"* "-"_);_(@_)</c:formatCode>
                <c:ptCount val="4"/>
                <c:pt idx="0">
                  <c:v>54000</c:v>
                </c:pt>
                <c:pt idx="1">
                  <c:v>59000</c:v>
                </c:pt>
                <c:pt idx="2">
                  <c:v>53000</c:v>
                </c:pt>
                <c:pt idx="3">
                  <c:v>49000</c:v>
                </c:pt>
              </c:numCache>
            </c:numRef>
          </c:val>
          <c:extLst>
            <c:ext xmlns:c16="http://schemas.microsoft.com/office/drawing/2014/chart" uri="{C3380CC4-5D6E-409C-BE32-E72D297353CC}">
              <c16:uniqueId val="{00000000-5554-4B63-B59A-7A7DFECF145B}"/>
            </c:ext>
          </c:extLst>
        </c:ser>
        <c:dLbls>
          <c:dLblPos val="outEnd"/>
          <c:showLegendKey val="0"/>
          <c:showVal val="1"/>
          <c:showCatName val="0"/>
          <c:showSerName val="0"/>
          <c:showPercent val="0"/>
          <c:showBubbleSize val="0"/>
        </c:dLbls>
        <c:gapWidth val="355"/>
        <c:overlap val="-70"/>
        <c:axId val="278835039"/>
        <c:axId val="278835519"/>
      </c:barChart>
      <c:catAx>
        <c:axId val="2788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35519"/>
        <c:crosses val="autoZero"/>
        <c:auto val="1"/>
        <c:lblAlgn val="ctr"/>
        <c:lblOffset val="100"/>
        <c:noMultiLvlLbl val="0"/>
      </c:catAx>
      <c:valAx>
        <c:axId val="278835519"/>
        <c:scaling>
          <c:orientation val="minMax"/>
        </c:scaling>
        <c:delete val="1"/>
        <c:axPos val="l"/>
        <c:numFmt formatCode="_(&quot;₹&quot;* #,##0_);_(&quot;₹&quot;* \(#,##0\);_(&quot;₹&quot;* &quot;-&quot;_);_(@_)" sourceLinked="1"/>
        <c:majorTickMark val="none"/>
        <c:minorTickMark val="none"/>
        <c:tickLblPos val="nextTo"/>
        <c:crossAx val="2788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[Finance_Dashboard.xlsx]Pivots!PivotTable23</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Profit vs Cash Flow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6"/>
          <c:w val="0.80982421314982689"/>
          <c:h val="0.72088764946048411"/>
        </c:manualLayout>
      </c:layout>
      <c:barChart>
        <c:barDir val="col"/>
        <c:grouping val="clustered"/>
        <c:varyColors val="0"/>
        <c:ser>
          <c:idx val="0"/>
          <c:order val="0"/>
          <c:tx>
            <c:strRef>
              <c:f>Pivots!$AT$35</c:f>
              <c:strCache>
                <c:ptCount val="1"/>
                <c:pt idx="0">
                  <c:v>Sum of NetProfit</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Pivots!$AS$36:$AS$46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Pivots!$AT$36:$AT$46</c:f>
              <c:numCache>
                <c:formatCode>_("₹"* #,##0_);_("₹"* \(#,##0\);_("₹"* "-"_);_(@_)</c:formatCode>
                <c:ptCount val="10"/>
                <c:pt idx="0">
                  <c:v>396950</c:v>
                </c:pt>
                <c:pt idx="1">
                  <c:v>403750</c:v>
                </c:pt>
                <c:pt idx="2">
                  <c:v>460700</c:v>
                </c:pt>
                <c:pt idx="3">
                  <c:v>423300</c:v>
                </c:pt>
                <c:pt idx="4">
                  <c:v>441150</c:v>
                </c:pt>
                <c:pt idx="5">
                  <c:v>448800</c:v>
                </c:pt>
                <c:pt idx="6">
                  <c:v>457300</c:v>
                </c:pt>
                <c:pt idx="7">
                  <c:v>487900</c:v>
                </c:pt>
                <c:pt idx="8">
                  <c:v>508300</c:v>
                </c:pt>
                <c:pt idx="9">
                  <c:v>516800</c:v>
                </c:pt>
              </c:numCache>
            </c:numRef>
          </c:val>
          <c:extLst>
            <c:ext xmlns:c16="http://schemas.microsoft.com/office/drawing/2014/chart" uri="{C3380CC4-5D6E-409C-BE32-E72D297353CC}">
              <c16:uniqueId val="{00000000-7DB2-4A97-88F9-C815B7F28DB4}"/>
            </c:ext>
          </c:extLst>
        </c:ser>
        <c:dLbls>
          <c:dLblPos val="inBase"/>
          <c:showLegendKey val="0"/>
          <c:showVal val="1"/>
          <c:showCatName val="0"/>
          <c:showSerName val="0"/>
          <c:showPercent val="0"/>
          <c:showBubbleSize val="0"/>
        </c:dLbls>
        <c:gapWidth val="219"/>
        <c:overlap val="-27"/>
        <c:axId val="202581263"/>
        <c:axId val="202580783"/>
      </c:barChart>
      <c:lineChart>
        <c:grouping val="standard"/>
        <c:varyColors val="0"/>
        <c:ser>
          <c:idx val="1"/>
          <c:order val="1"/>
          <c:tx>
            <c:strRef>
              <c:f>Pivots!$AU$35</c:f>
              <c:strCache>
                <c:ptCount val="1"/>
                <c:pt idx="0">
                  <c:v>Sum of CashFlow</c:v>
                </c:pt>
              </c:strCache>
            </c:strRef>
          </c:tx>
          <c:spPr>
            <a:ln w="28575" cap="rnd">
              <a:solidFill>
                <a:schemeClr val="accent5">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Pivots!$AS$36:$AS$46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Pivots!$AU$36:$AU$46</c:f>
              <c:numCache>
                <c:formatCode>_("₹"* #,##0_);_("₹"* \(#,##0\);_("₹"* "-"_);_(@_)</c:formatCode>
                <c:ptCount val="10"/>
                <c:pt idx="0">
                  <c:v>396950</c:v>
                </c:pt>
                <c:pt idx="1">
                  <c:v>403750</c:v>
                </c:pt>
                <c:pt idx="2">
                  <c:v>460700</c:v>
                </c:pt>
                <c:pt idx="3">
                  <c:v>423300</c:v>
                </c:pt>
                <c:pt idx="4">
                  <c:v>441150</c:v>
                </c:pt>
                <c:pt idx="5">
                  <c:v>448800</c:v>
                </c:pt>
                <c:pt idx="6">
                  <c:v>457300</c:v>
                </c:pt>
                <c:pt idx="7">
                  <c:v>487900</c:v>
                </c:pt>
                <c:pt idx="8">
                  <c:v>508300</c:v>
                </c:pt>
                <c:pt idx="9">
                  <c:v>516800</c:v>
                </c:pt>
              </c:numCache>
            </c:numRef>
          </c:val>
          <c:smooth val="0"/>
          <c:extLst>
            <c:ext xmlns:c16="http://schemas.microsoft.com/office/drawing/2014/chart" uri="{C3380CC4-5D6E-409C-BE32-E72D297353CC}">
              <c16:uniqueId val="{00000001-7DB2-4A97-88F9-C815B7F28DB4}"/>
            </c:ext>
          </c:extLst>
        </c:ser>
        <c:dLbls>
          <c:showLegendKey val="0"/>
          <c:showVal val="1"/>
          <c:showCatName val="0"/>
          <c:showSerName val="0"/>
          <c:showPercent val="0"/>
          <c:showBubbleSize val="0"/>
        </c:dLbls>
        <c:marker val="1"/>
        <c:smooth val="0"/>
        <c:axId val="202581263"/>
        <c:axId val="202580783"/>
      </c:lineChart>
      <c:catAx>
        <c:axId val="20258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0783"/>
        <c:crosses val="autoZero"/>
        <c:auto val="1"/>
        <c:lblAlgn val="ctr"/>
        <c:lblOffset val="100"/>
        <c:noMultiLvlLbl val="0"/>
      </c:catAx>
      <c:valAx>
        <c:axId val="202580783"/>
        <c:scaling>
          <c:orientation val="minMax"/>
        </c:scaling>
        <c:delete val="1"/>
        <c:axPos val="l"/>
        <c:numFmt formatCode="_(&quot;₹&quot;* #,##0_);_(&quot;₹&quot;* \(#,##0\);_(&quot;₹&quot;* &quot;-&quot;_);_(@_)" sourceLinked="1"/>
        <c:majorTickMark val="none"/>
        <c:minorTickMark val="none"/>
        <c:tickLblPos val="nextTo"/>
        <c:crossAx val="202581263"/>
        <c:crosses val="autoZero"/>
        <c:crossBetween val="between"/>
      </c:valAx>
      <c:spPr>
        <a:noFill/>
        <a:ln>
          <a:noFill/>
        </a:ln>
        <a:effectLst/>
      </c:spPr>
    </c:plotArea>
    <c:legend>
      <c:legendPos val="r"/>
      <c:layout>
        <c:manualLayout>
          <c:xMode val="edge"/>
          <c:yMode val="edge"/>
          <c:x val="0.86657197262106944"/>
          <c:y val="0.32628772889638419"/>
          <c:w val="0.11520579237940085"/>
          <c:h val="0.50722459399524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[Finance_Dashboard.xlsx]Pivots!PivotTable22</c:name>
    <c:fmtId val="3"/>
  </c:pivotSource>
  <c:chart>
    <c:title>
      <c:tx>
        <c:rich>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r>
              <a:rPr lang="en-US">
                <a:solidFill>
                  <a:srgbClr val="002060"/>
                </a:solidFill>
              </a:rPr>
              <a:t>Monthly Cash Flow Stability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rgbClr val="00206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74000"/>
            </a:schemeClr>
          </a:solidFill>
          <a:ln>
            <a:noFill/>
          </a:ln>
          <a:effectLst>
            <a:innerShdw blurRad="114300">
              <a:schemeClr val="accent5">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Pivots!$AT$18</c:f>
              <c:strCache>
                <c:ptCount val="1"/>
                <c:pt idx="0">
                  <c:v>Total</c:v>
                </c:pt>
              </c:strCache>
            </c:strRef>
          </c:tx>
          <c:spPr>
            <a:solidFill>
              <a:schemeClr val="accent5">
                <a:alpha val="74000"/>
              </a:schemeClr>
            </a:solidFill>
            <a:ln>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Pivots!$AS$19:$AS$29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Pivots!$AT$19:$AT$29</c:f>
              <c:numCache>
                <c:formatCode>_("₹"* #,##0_);_("₹"* \(#,##0\);_("₹"* "-"_);_(@_)</c:formatCode>
                <c:ptCount val="10"/>
                <c:pt idx="0">
                  <c:v>396950</c:v>
                </c:pt>
                <c:pt idx="1">
                  <c:v>403750</c:v>
                </c:pt>
                <c:pt idx="2">
                  <c:v>460700</c:v>
                </c:pt>
                <c:pt idx="3">
                  <c:v>423300</c:v>
                </c:pt>
                <c:pt idx="4">
                  <c:v>441150</c:v>
                </c:pt>
                <c:pt idx="5">
                  <c:v>448800</c:v>
                </c:pt>
                <c:pt idx="6">
                  <c:v>457300</c:v>
                </c:pt>
                <c:pt idx="7">
                  <c:v>487900</c:v>
                </c:pt>
                <c:pt idx="8">
                  <c:v>508300</c:v>
                </c:pt>
                <c:pt idx="9">
                  <c:v>516800</c:v>
                </c:pt>
              </c:numCache>
            </c:numRef>
          </c:val>
          <c:extLst>
            <c:ext xmlns:c16="http://schemas.microsoft.com/office/drawing/2014/chart" uri="{C3380CC4-5D6E-409C-BE32-E72D297353CC}">
              <c16:uniqueId val="{00000000-3D1C-4682-B3E9-ED6FCB09A5DD}"/>
            </c:ext>
          </c:extLst>
        </c:ser>
        <c:dLbls>
          <c:showLegendKey val="0"/>
          <c:showVal val="1"/>
          <c:showCatName val="0"/>
          <c:showSerName val="0"/>
          <c:showPercent val="0"/>
          <c:showBubbleSize val="0"/>
        </c:dLbls>
        <c:axId val="205729199"/>
        <c:axId val="205733039"/>
      </c:areaChart>
      <c:catAx>
        <c:axId val="2057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5733039"/>
        <c:crosses val="autoZero"/>
        <c:auto val="1"/>
        <c:lblAlgn val="ctr"/>
        <c:lblOffset val="100"/>
        <c:noMultiLvlLbl val="0"/>
      </c:catAx>
      <c:valAx>
        <c:axId val="205733039"/>
        <c:scaling>
          <c:orientation val="minMax"/>
        </c:scaling>
        <c:delete val="1"/>
        <c:axPos val="l"/>
        <c:numFmt formatCode="_(&quot;₹&quot;* #,##0_);_(&quot;₹&quot;* \(#,##0\);_(&quot;₹&quot;* &quot;-&quot;_);_(@_)" sourceLinked="1"/>
        <c:majorTickMark val="none"/>
        <c:minorTickMark val="none"/>
        <c:tickLblPos val="nextTo"/>
        <c:crossAx val="205729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[Finance_Dashboard.xlsx]Pivots!PivotTable21</c:name>
    <c:fmtId val="3"/>
  </c:pivotSource>
  <c:chart>
    <c:title>
      <c:tx>
        <c:rich>
          <a:bodyPr rot="0" spcFirstLastPara="1" vertOverflow="ellipsis" vert="horz" wrap="square" anchor="ctr" anchorCtr="1"/>
          <a:lstStyle/>
          <a:p>
            <a:pPr>
              <a:defRPr sz="1400" b="1" i="0" u="none" strike="noStrike" kern="1200" cap="none" spc="20" baseline="0">
                <a:solidFill>
                  <a:srgbClr val="002060"/>
                </a:solidFill>
                <a:latin typeface="+mn-lt"/>
                <a:ea typeface="+mn-ea"/>
                <a:cs typeface="+mn-cs"/>
              </a:defRPr>
            </a:pPr>
            <a:r>
              <a:rPr lang="en-US" b="1">
                <a:solidFill>
                  <a:srgbClr val="002060"/>
                </a:solidFill>
              </a:rPr>
              <a:t>Cash Flow by Payment Mode</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Pivots!$AT$7</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Pivots!$AS$8:$AS$12</c:f>
              <c:strCache>
                <c:ptCount val="4"/>
                <c:pt idx="0">
                  <c:v>Bank Transfer</c:v>
                </c:pt>
                <c:pt idx="1">
                  <c:v>Cash</c:v>
                </c:pt>
                <c:pt idx="2">
                  <c:v>Credit Card</c:v>
                </c:pt>
                <c:pt idx="3">
                  <c:v>UPI</c:v>
                </c:pt>
              </c:strCache>
            </c:strRef>
          </c:cat>
          <c:val>
            <c:numRef>
              <c:f>Pivots!$AT$8:$AT$12</c:f>
              <c:numCache>
                <c:formatCode>_("₹"* #,##0_);_("₹"* \(#,##0\);_("₹"* "-"_);_(@_)</c:formatCode>
                <c:ptCount val="4"/>
                <c:pt idx="0">
                  <c:v>1571650</c:v>
                </c:pt>
                <c:pt idx="1">
                  <c:v>453900</c:v>
                </c:pt>
                <c:pt idx="2">
                  <c:v>1609050</c:v>
                </c:pt>
                <c:pt idx="3">
                  <c:v>910350</c:v>
                </c:pt>
              </c:numCache>
            </c:numRef>
          </c:val>
          <c:extLst>
            <c:ext xmlns:c16="http://schemas.microsoft.com/office/drawing/2014/chart" uri="{C3380CC4-5D6E-409C-BE32-E72D297353CC}">
              <c16:uniqueId val="{00000000-3C75-451F-9FEE-60873DBF2803}"/>
            </c:ext>
          </c:extLst>
        </c:ser>
        <c:dLbls>
          <c:dLblPos val="outEnd"/>
          <c:showLegendKey val="0"/>
          <c:showVal val="1"/>
          <c:showCatName val="0"/>
          <c:showSerName val="0"/>
          <c:showPercent val="0"/>
          <c:showBubbleSize val="0"/>
        </c:dLbls>
        <c:gapWidth val="100"/>
        <c:overlap val="-24"/>
        <c:axId val="231677343"/>
        <c:axId val="231674463"/>
      </c:barChart>
      <c:catAx>
        <c:axId val="23167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1674463"/>
        <c:crosses val="autoZero"/>
        <c:auto val="1"/>
        <c:lblAlgn val="ctr"/>
        <c:lblOffset val="100"/>
        <c:noMultiLvlLbl val="0"/>
      </c:catAx>
      <c:valAx>
        <c:axId val="231674463"/>
        <c:scaling>
          <c:orientation val="minMax"/>
        </c:scaling>
        <c:delete val="1"/>
        <c:axPos val="l"/>
        <c:numFmt formatCode="_(&quot;₹&quot;* #,##0_);_(&quot;₹&quot;* \(#,##0\);_(&quot;₹&quot;* &quot;-&quot;_);_(@_)" sourceLinked="1"/>
        <c:majorTickMark val="none"/>
        <c:minorTickMark val="none"/>
        <c:tickLblPos val="nextTo"/>
        <c:crossAx val="2316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[Finance_Dashboard.xlsx]Pivots!PivotTable24</c:name>
    <c:fmtId val="3"/>
  </c:pivotSource>
  <c:chart>
    <c:title>
      <c:tx>
        <c:rich>
          <a:bodyPr rot="0" spcFirstLastPara="1" vertOverflow="ellipsis" vert="horz" wrap="square" anchor="ctr" anchorCtr="1"/>
          <a:lstStyle/>
          <a:p>
            <a:pPr>
              <a:defRPr sz="1600" b="1" i="0" u="none" strike="noStrike" kern="1200" cap="all" spc="150" baseline="0">
                <a:solidFill>
                  <a:srgbClr val="002060"/>
                </a:solidFill>
                <a:latin typeface="+mn-lt"/>
                <a:ea typeface="+mn-ea"/>
                <a:cs typeface="+mn-cs"/>
              </a:defRPr>
            </a:pPr>
            <a:r>
              <a:rPr lang="en-US" sz="1600">
                <a:solidFill>
                  <a:srgbClr val="002060"/>
                </a:solidFill>
              </a:rPr>
              <a:t>Regional Liquidity Overview</a:t>
            </a: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Pivots!$AW$7</c:f>
              <c:strCache>
                <c:ptCount val="1"/>
                <c:pt idx="0">
                  <c:v>Total</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Pivots!$AV$8:$AV$12</c:f>
              <c:strCache>
                <c:ptCount val="4"/>
                <c:pt idx="0">
                  <c:v>East</c:v>
                </c:pt>
                <c:pt idx="1">
                  <c:v>North</c:v>
                </c:pt>
                <c:pt idx="2">
                  <c:v>South</c:v>
                </c:pt>
                <c:pt idx="3">
                  <c:v>West</c:v>
                </c:pt>
              </c:strCache>
            </c:strRef>
          </c:cat>
          <c:val>
            <c:numRef>
              <c:f>Pivots!$AW$8:$AW$12</c:f>
              <c:numCache>
                <c:formatCode>_("₹"* #,##0_);_("₹"* \(#,##0\);_("₹"* "-"_);_(@_)</c:formatCode>
                <c:ptCount val="4"/>
                <c:pt idx="0">
                  <c:v>1125400</c:v>
                </c:pt>
                <c:pt idx="1">
                  <c:v>1092250</c:v>
                </c:pt>
                <c:pt idx="2">
                  <c:v>1195950</c:v>
                </c:pt>
                <c:pt idx="3">
                  <c:v>1131350</c:v>
                </c:pt>
              </c:numCache>
            </c:numRef>
          </c:val>
          <c:extLst>
            <c:ext xmlns:c16="http://schemas.microsoft.com/office/drawing/2014/chart" uri="{C3380CC4-5D6E-409C-BE32-E72D297353CC}">
              <c16:uniqueId val="{00000000-77FF-4D9D-8720-874F8362273C}"/>
            </c:ext>
          </c:extLst>
        </c:ser>
        <c:dLbls>
          <c:dLblPos val="outEnd"/>
          <c:showLegendKey val="0"/>
          <c:showVal val="1"/>
          <c:showCatName val="0"/>
          <c:showSerName val="0"/>
          <c:showPercent val="0"/>
          <c:showBubbleSize val="0"/>
        </c:dLbls>
        <c:gapWidth val="227"/>
        <c:overlap val="-48"/>
        <c:axId val="170332767"/>
        <c:axId val="170336127"/>
      </c:barChart>
      <c:catAx>
        <c:axId val="17033276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36127"/>
        <c:crosses val="autoZero"/>
        <c:auto val="1"/>
        <c:lblAlgn val="ctr"/>
        <c:lblOffset val="100"/>
        <c:noMultiLvlLbl val="0"/>
      </c:catAx>
      <c:valAx>
        <c:axId val="170336127"/>
        <c:scaling>
          <c:orientation val="minMax"/>
        </c:scaling>
        <c:delete val="1"/>
        <c:axPos val="b"/>
        <c:numFmt formatCode="_(&quot;₹&quot;* #,##0_);_(&quot;₹&quot;* \(#,##0\);_(&quot;₹&quot;* &quot;-&quot;_);_(@_)" sourceLinked="1"/>
        <c:majorTickMark val="none"/>
        <c:minorTickMark val="none"/>
        <c:tickLblPos val="nextTo"/>
        <c:crossAx val="17033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[Finance_Dashboard.xlsx]Pivots!PivotTable25</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a:solidFill>
                  <a:srgbClr val="002060"/>
                </a:solidFill>
              </a:rPr>
              <a:t>Customer Type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Pivots!$BB$7:$BB$8</c:f>
              <c:strCache>
                <c:ptCount val="1"/>
                <c:pt idx="0">
                  <c:v>B2B</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Pivots!$BA$9:$BA$19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Pivots!$BB$9:$BB$19</c:f>
              <c:numCache>
                <c:formatCode>_("₹"* #,##0_);_("₹"* \(#,##0\);_("₹"* "-"_);_(@_)</c:formatCode>
                <c:ptCount val="10"/>
                <c:pt idx="0">
                  <c:v>600000</c:v>
                </c:pt>
                <c:pt idx="1">
                  <c:v>638000</c:v>
                </c:pt>
                <c:pt idx="2">
                  <c:v>664000</c:v>
                </c:pt>
                <c:pt idx="3">
                  <c:v>671000</c:v>
                </c:pt>
                <c:pt idx="4">
                  <c:v>703000</c:v>
                </c:pt>
                <c:pt idx="5">
                  <c:v>711000</c:v>
                </c:pt>
                <c:pt idx="6">
                  <c:v>808000</c:v>
                </c:pt>
                <c:pt idx="7">
                  <c:v>803000</c:v>
                </c:pt>
                <c:pt idx="8">
                  <c:v>830000</c:v>
                </c:pt>
                <c:pt idx="9">
                  <c:v>845000</c:v>
                </c:pt>
              </c:numCache>
            </c:numRef>
          </c:val>
          <c:smooth val="0"/>
          <c:extLst>
            <c:ext xmlns:c16="http://schemas.microsoft.com/office/drawing/2014/chart" uri="{C3380CC4-5D6E-409C-BE32-E72D297353CC}">
              <c16:uniqueId val="{00000000-0630-4EB8-A2C3-EDC930CDB12D}"/>
            </c:ext>
          </c:extLst>
        </c:ser>
        <c:ser>
          <c:idx val="1"/>
          <c:order val="1"/>
          <c:tx>
            <c:strRef>
              <c:f>Pivots!$BC$7:$BC$8</c:f>
              <c:strCache>
                <c:ptCount val="1"/>
                <c:pt idx="0">
                  <c:v>B2C</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Pivots!$BA$9:$BA$19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Pivots!$BC$9:$BC$19</c:f>
              <c:numCache>
                <c:formatCode>_("₹"* #,##0_);_("₹"* \(#,##0\);_("₹"* "-"_);_(@_)</c:formatCode>
                <c:ptCount val="10"/>
                <c:pt idx="0">
                  <c:v>249000</c:v>
                </c:pt>
                <c:pt idx="1">
                  <c:v>247000</c:v>
                </c:pt>
                <c:pt idx="2">
                  <c:v>342000</c:v>
                </c:pt>
                <c:pt idx="3">
                  <c:v>267000</c:v>
                </c:pt>
                <c:pt idx="4">
                  <c:v>264000</c:v>
                </c:pt>
                <c:pt idx="5">
                  <c:v>268000</c:v>
                </c:pt>
                <c:pt idx="6">
                  <c:v>184000</c:v>
                </c:pt>
                <c:pt idx="7">
                  <c:v>277000</c:v>
                </c:pt>
                <c:pt idx="8">
                  <c:v>287000</c:v>
                </c:pt>
                <c:pt idx="9">
                  <c:v>291000</c:v>
                </c:pt>
              </c:numCache>
            </c:numRef>
          </c:val>
          <c:smooth val="0"/>
          <c:extLst>
            <c:ext xmlns:c16="http://schemas.microsoft.com/office/drawing/2014/chart" uri="{C3380CC4-5D6E-409C-BE32-E72D297353CC}">
              <c16:uniqueId val="{00000008-0630-4EB8-A2C3-EDC930CDB12D}"/>
            </c:ext>
          </c:extLst>
        </c:ser>
        <c:dLbls>
          <c:dLblPos val="t"/>
          <c:showLegendKey val="0"/>
          <c:showVal val="1"/>
          <c:showCatName val="0"/>
          <c:showSerName val="0"/>
          <c:showPercent val="0"/>
          <c:showBubbleSize val="0"/>
        </c:dLbls>
        <c:marker val="1"/>
        <c:smooth val="0"/>
        <c:axId val="238286815"/>
        <c:axId val="238287295"/>
      </c:lineChart>
      <c:catAx>
        <c:axId val="23828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87295"/>
        <c:crosses val="autoZero"/>
        <c:auto val="1"/>
        <c:lblAlgn val="ctr"/>
        <c:lblOffset val="100"/>
        <c:noMultiLvlLbl val="0"/>
      </c:catAx>
      <c:valAx>
        <c:axId val="238287295"/>
        <c:scaling>
          <c:orientation val="minMax"/>
        </c:scaling>
        <c:delete val="1"/>
        <c:axPos val="l"/>
        <c:numFmt formatCode="_(&quot;₹&quot;* #,##0_);_(&quot;₹&quot;* \(#,##0\);_(&quot;₹&quot;* &quot;-&quot;_);_(@_)" sourceLinked="1"/>
        <c:majorTickMark val="none"/>
        <c:minorTickMark val="none"/>
        <c:tickLblPos val="nextTo"/>
        <c:crossAx val="23828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[Finance_Dashboard.xlsx]Pivots!PivotTable26</c:name>
    <c:fmtId val="3"/>
  </c:pivotSource>
  <c:chart>
    <c:title>
      <c:tx>
        <c:rich>
          <a:bodyPr rot="0" spcFirstLastPara="1" vertOverflow="ellipsis" vert="horz" wrap="square" anchor="ctr" anchorCtr="1"/>
          <a:lstStyle/>
          <a:p>
            <a:pPr>
              <a:defRPr sz="2000" b="1" i="0" u="none" strike="noStrike" kern="1200" cap="none" spc="0" normalizeH="0" baseline="0">
                <a:solidFill>
                  <a:srgbClr val="002060"/>
                </a:solidFill>
                <a:latin typeface="+mj-lt"/>
                <a:ea typeface="+mj-ea"/>
                <a:cs typeface="+mj-cs"/>
              </a:defRPr>
            </a:pPr>
            <a:r>
              <a:rPr lang="en-IN" b="1">
                <a:solidFill>
                  <a:srgbClr val="002060"/>
                </a:solidFill>
              </a:rPr>
              <a:t>Profit by Customer Type and Region</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rgbClr val="002060"/>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Pivots!$BB$25:$BB$26</c:f>
              <c:strCache>
                <c:ptCount val="1"/>
                <c:pt idx="0">
                  <c:v>B2B</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Pivots!$BA$27:$BA$31</c:f>
              <c:strCache>
                <c:ptCount val="4"/>
                <c:pt idx="0">
                  <c:v>East</c:v>
                </c:pt>
                <c:pt idx="1">
                  <c:v>North</c:v>
                </c:pt>
                <c:pt idx="2">
                  <c:v>South</c:v>
                </c:pt>
                <c:pt idx="3">
                  <c:v>West</c:v>
                </c:pt>
              </c:strCache>
            </c:strRef>
          </c:cat>
          <c:val>
            <c:numRef>
              <c:f>Pivots!$BB$27:$BB$31</c:f>
              <c:numCache>
                <c:formatCode>_("₹"* #,##0_);_("₹"* \(#,##0\);_("₹"* "-"_);_(@_)</c:formatCode>
                <c:ptCount val="4"/>
                <c:pt idx="0">
                  <c:v>894200</c:v>
                </c:pt>
                <c:pt idx="1">
                  <c:v>698700</c:v>
                </c:pt>
                <c:pt idx="2">
                  <c:v>961350</c:v>
                </c:pt>
                <c:pt idx="3">
                  <c:v>810050</c:v>
                </c:pt>
              </c:numCache>
            </c:numRef>
          </c:val>
          <c:extLst>
            <c:ext xmlns:c16="http://schemas.microsoft.com/office/drawing/2014/chart" uri="{C3380CC4-5D6E-409C-BE32-E72D297353CC}">
              <c16:uniqueId val="{00000000-20FE-44CD-BEB0-E7328D1E7FCA}"/>
            </c:ext>
          </c:extLst>
        </c:ser>
        <c:ser>
          <c:idx val="1"/>
          <c:order val="1"/>
          <c:tx>
            <c:strRef>
              <c:f>Pivots!$BC$25:$BC$26</c:f>
              <c:strCache>
                <c:ptCount val="1"/>
                <c:pt idx="0">
                  <c:v>B2C</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Pivots!$BA$27:$BA$31</c:f>
              <c:strCache>
                <c:ptCount val="4"/>
                <c:pt idx="0">
                  <c:v>East</c:v>
                </c:pt>
                <c:pt idx="1">
                  <c:v>North</c:v>
                </c:pt>
                <c:pt idx="2">
                  <c:v>South</c:v>
                </c:pt>
                <c:pt idx="3">
                  <c:v>West</c:v>
                </c:pt>
              </c:strCache>
            </c:strRef>
          </c:cat>
          <c:val>
            <c:numRef>
              <c:f>Pivots!$BC$27:$BC$31</c:f>
              <c:numCache>
                <c:formatCode>_("₹"* #,##0_);_("₹"* \(#,##0\);_("₹"* "-"_);_(@_)</c:formatCode>
                <c:ptCount val="4"/>
                <c:pt idx="0">
                  <c:v>231200</c:v>
                </c:pt>
                <c:pt idx="1">
                  <c:v>393550</c:v>
                </c:pt>
                <c:pt idx="2">
                  <c:v>234600</c:v>
                </c:pt>
                <c:pt idx="3">
                  <c:v>321300</c:v>
                </c:pt>
              </c:numCache>
            </c:numRef>
          </c:val>
          <c:extLst>
            <c:ext xmlns:c16="http://schemas.microsoft.com/office/drawing/2014/chart" uri="{C3380CC4-5D6E-409C-BE32-E72D297353CC}">
              <c16:uniqueId val="{00000008-20FE-44CD-BEB0-E7328D1E7FCA}"/>
            </c:ext>
          </c:extLst>
        </c:ser>
        <c:dLbls>
          <c:dLblPos val="outEnd"/>
          <c:showLegendKey val="0"/>
          <c:showVal val="1"/>
          <c:showCatName val="0"/>
          <c:showSerName val="0"/>
          <c:showPercent val="0"/>
          <c:showBubbleSize val="0"/>
        </c:dLbls>
        <c:gapWidth val="199"/>
        <c:axId val="378702463"/>
        <c:axId val="378697663"/>
      </c:barChart>
      <c:catAx>
        <c:axId val="37870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78697663"/>
        <c:crosses val="autoZero"/>
        <c:auto val="1"/>
        <c:lblAlgn val="ctr"/>
        <c:lblOffset val="100"/>
        <c:noMultiLvlLbl val="0"/>
      </c:catAx>
      <c:valAx>
        <c:axId val="378697663"/>
        <c:scaling>
          <c:orientation val="minMax"/>
        </c:scaling>
        <c:delete val="1"/>
        <c:axPos val="l"/>
        <c:numFmt formatCode="_(&quot;₹&quot;* #,##0_);_(&quot;₹&quot;* \(#,##0\);_(&quot;₹&quot;* &quot;-&quot;_);_(@_)" sourceLinked="1"/>
        <c:majorTickMark val="none"/>
        <c:minorTickMark val="none"/>
        <c:tickLblPos val="nextTo"/>
        <c:crossAx val="37870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[Finance_Dashboard.xlsx]Pivots!PivotTable27</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rPr>
              <a:t>Average Revenue per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Pivots!$BB$38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Pivots!$BA$39:$BA$41</c:f>
              <c:strCache>
                <c:ptCount val="2"/>
                <c:pt idx="0">
                  <c:v>B2B</c:v>
                </c:pt>
                <c:pt idx="1">
                  <c:v>B2C</c:v>
                </c:pt>
              </c:strCache>
            </c:strRef>
          </c:cat>
          <c:val>
            <c:numRef>
              <c:f>Pivots!$BB$39:$BB$41</c:f>
              <c:numCache>
                <c:formatCode>_("₹"* #,##0_);_("₹"* \(#,##0\);_("₹"* "-"_);_(@_)</c:formatCode>
                <c:ptCount val="2"/>
                <c:pt idx="0">
                  <c:v>102436.61971830986</c:v>
                </c:pt>
                <c:pt idx="1">
                  <c:v>89200</c:v>
                </c:pt>
              </c:numCache>
            </c:numRef>
          </c:val>
          <c:extLst>
            <c:ext xmlns:c16="http://schemas.microsoft.com/office/drawing/2014/chart" uri="{C3380CC4-5D6E-409C-BE32-E72D297353CC}">
              <c16:uniqueId val="{00000000-DD2F-43A3-BF1F-5CB344563490}"/>
            </c:ext>
          </c:extLst>
        </c:ser>
        <c:dLbls>
          <c:dLblPos val="outEnd"/>
          <c:showLegendKey val="0"/>
          <c:showVal val="1"/>
          <c:showCatName val="0"/>
          <c:showSerName val="0"/>
          <c:showPercent val="0"/>
          <c:showBubbleSize val="0"/>
        </c:dLbls>
        <c:gapWidth val="100"/>
        <c:axId val="237820847"/>
        <c:axId val="237819407"/>
      </c:barChart>
      <c:catAx>
        <c:axId val="237820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7819407"/>
        <c:crosses val="autoZero"/>
        <c:auto val="1"/>
        <c:lblAlgn val="ctr"/>
        <c:lblOffset val="100"/>
        <c:noMultiLvlLbl val="0"/>
      </c:catAx>
      <c:valAx>
        <c:axId val="237819407"/>
        <c:scaling>
          <c:orientation val="minMax"/>
        </c:scaling>
        <c:delete val="1"/>
        <c:axPos val="b"/>
        <c:numFmt formatCode="_(&quot;₹&quot;* #,##0_);_(&quot;₹&quot;* \(#,##0\);_(&quot;₹&quot;* &quot;-&quot;_);_(@_)" sourceLinked="1"/>
        <c:majorTickMark val="none"/>
        <c:minorTickMark val="none"/>
        <c:tickLblPos val="nextTo"/>
        <c:crossAx val="2378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[Finance_Dashboard.xlsx]Pivots!PivotTable28</c:name>
    <c:fmtId val="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rPr>
              <a:t>Expense Comparison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s>
    <c:plotArea>
      <c:layout>
        <c:manualLayout>
          <c:layoutTarget val="inner"/>
          <c:xMode val="edge"/>
          <c:yMode val="edge"/>
          <c:x val="0.22024019724807126"/>
          <c:y val="0.24399851138010734"/>
          <c:w val="0.50355408053332174"/>
          <c:h val="0.68205272848356646"/>
        </c:manualLayout>
      </c:layout>
      <c:doughnutChart>
        <c:varyColors val="1"/>
        <c:ser>
          <c:idx val="0"/>
          <c:order val="0"/>
          <c:tx>
            <c:strRef>
              <c:f>Pivots!$BG$7</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5D09-48C8-B3C0-B293C1FF8732}"/>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5D09-48C8-B3C0-B293C1FF87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Pivots!$BF$8:$BF$10</c:f>
              <c:strCache>
                <c:ptCount val="2"/>
                <c:pt idx="0">
                  <c:v>B2B</c:v>
                </c:pt>
                <c:pt idx="1">
                  <c:v>B2C</c:v>
                </c:pt>
              </c:strCache>
            </c:strRef>
          </c:cat>
          <c:val>
            <c:numRef>
              <c:f>Pivots!$BG$8:$BG$10</c:f>
              <c:numCache>
                <c:formatCode>_("₹"* #,##0_);_("₹"* \(#,##0\);_("₹"* "-"_);_(@_)</c:formatCode>
                <c:ptCount val="2"/>
                <c:pt idx="0">
                  <c:v>3315000</c:v>
                </c:pt>
                <c:pt idx="1">
                  <c:v>1287000</c:v>
                </c:pt>
              </c:numCache>
            </c:numRef>
          </c:val>
          <c:extLst>
            <c:ext xmlns:c16="http://schemas.microsoft.com/office/drawing/2014/chart" uri="{C3380CC4-5D6E-409C-BE32-E72D297353CC}">
              <c16:uniqueId val="{00000004-5D09-48C8-B3C0-B293C1FF87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Reversed" id="25">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Reversed" id="25">
  <a:schemeClr val="accent5"/>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withinLinear" id="18">
  <a:schemeClr val="accent5"/>
</cs:colorStyle>
</file>

<file path=xl/charts/colors28.xml><?xml version="1.0" encoding="utf-8"?>
<cs:colorStyle xmlns:cs="http://schemas.microsoft.com/office/drawing/2012/chartStyle" xmlns:a="http://schemas.openxmlformats.org/drawingml/2006/main" meth="withinLinearReversed" id="25">
  <a:schemeClr val="accent5"/>
</cs:colorStyle>
</file>

<file path=xl/charts/colors2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hyperlink" Target="#Rev!A1"/><Relationship Id="rId3" Type="http://schemas.openxmlformats.org/officeDocument/2006/relationships/image" Target="../media/image3.png"/><Relationship Id="rId21" Type="http://schemas.openxmlformats.org/officeDocument/2006/relationships/hyperlink" Target="#budget!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hyperlink" Target="#Profit!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hyperlink" Target="#cust!A1"/><Relationship Id="rId10" Type="http://schemas.openxmlformats.org/officeDocument/2006/relationships/image" Target="../media/image10.svg"/><Relationship Id="rId19" Type="http://schemas.openxmlformats.org/officeDocument/2006/relationships/hyperlink" Target="#Exp!A1"/><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hyperlink" Target="#cash_flow!A1"/></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hyperlink" Target="#Main_Dash!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hyperlink" Target="#Main_Dash!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hyperlink" Target="#Main_Dash!A1"/><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hyperlink" Target="#Main_Dash!A1"/><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hyperlink" Target="#Main_Dash!A1"/><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chart" Target="../charts/chart2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8.xml"/><Relationship Id="rId7" Type="http://schemas.openxmlformats.org/officeDocument/2006/relationships/hyperlink" Target="#Main_Dash!A1"/><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0</xdr:row>
      <xdr:rowOff>9526</xdr:rowOff>
    </xdr:from>
    <xdr:to>
      <xdr:col>6</xdr:col>
      <xdr:colOff>409575</xdr:colOff>
      <xdr:row>3</xdr:row>
      <xdr:rowOff>66676</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832D4BF-7F35-4FF1-AC00-17A05CAD8B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09975" y="9526"/>
              <a:ext cx="18288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0</xdr:row>
      <xdr:rowOff>47625</xdr:rowOff>
    </xdr:from>
    <xdr:to>
      <xdr:col>8</xdr:col>
      <xdr:colOff>371475</xdr:colOff>
      <xdr:row>13</xdr:row>
      <xdr:rowOff>95250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58E1094-7EE6-FCB3-7B63-20C7C665C5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38725" y="47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485775</xdr:colOff>
      <xdr:row>13</xdr:row>
      <xdr:rowOff>66676</xdr:rowOff>
    </xdr:from>
    <xdr:to>
      <xdr:col>8</xdr:col>
      <xdr:colOff>400050</xdr:colOff>
      <xdr:row>21</xdr:row>
      <xdr:rowOff>9526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1461671-0363-378F-F438-B9575510EF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67300" y="254317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21</xdr:row>
      <xdr:rowOff>9525</xdr:rowOff>
    </xdr:from>
    <xdr:to>
      <xdr:col>6</xdr:col>
      <xdr:colOff>504825</xdr:colOff>
      <xdr:row>28</xdr:row>
      <xdr:rowOff>95250</xdr:rowOff>
    </xdr:to>
    <mc:AlternateContent xmlns:mc="http://schemas.openxmlformats.org/markup-compatibility/2006" xmlns:a14="http://schemas.microsoft.com/office/drawing/2010/main">
      <mc:Choice Requires="a14">
        <xdr:graphicFrame macro="">
          <xdr:nvGraphicFramePr>
            <xdr:cNvPr id="5" name="BusinessUnit">
              <a:extLst>
                <a:ext uri="{FF2B5EF4-FFF2-40B4-BE49-F238E27FC236}">
                  <a16:creationId xmlns:a16="http://schemas.microsoft.com/office/drawing/2014/main" id="{A2A1A8B6-B870-8E99-34FC-ECD5D715936A}"/>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3257550" y="4010025"/>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514350</xdr:colOff>
      <xdr:row>8</xdr:row>
      <xdr:rowOff>161925</xdr:rowOff>
    </xdr:from>
    <xdr:to>
      <xdr:col>6</xdr:col>
      <xdr:colOff>447675</xdr:colOff>
      <xdr:row>20</xdr:row>
      <xdr:rowOff>133350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71FE2B9D-A840-66DE-1B8F-3D3D1319914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00400" y="1685925"/>
              <a:ext cx="1828800"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3</xdr:row>
      <xdr:rowOff>123825</xdr:rowOff>
    </xdr:from>
    <xdr:to>
      <xdr:col>6</xdr:col>
      <xdr:colOff>428625</xdr:colOff>
      <xdr:row>8</xdr:row>
      <xdr:rowOff>95250</xdr:rowOff>
    </xdr:to>
    <mc:AlternateContent xmlns:mc="http://schemas.openxmlformats.org/markup-compatibility/2006" xmlns:a14="http://schemas.microsoft.com/office/drawing/2010/main">
      <mc:Choice Requires="a14">
        <xdr:graphicFrame macro="">
          <xdr:nvGraphicFramePr>
            <xdr:cNvPr id="7" name="CustomerType">
              <a:extLst>
                <a:ext uri="{FF2B5EF4-FFF2-40B4-BE49-F238E27FC236}">
                  <a16:creationId xmlns:a16="http://schemas.microsoft.com/office/drawing/2014/main" id="{B4407073-553C-C2CB-8386-4488797D77E5}"/>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3629025" y="695325"/>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0</xdr:row>
      <xdr:rowOff>19050</xdr:rowOff>
    </xdr:from>
    <xdr:to>
      <xdr:col>22</xdr:col>
      <xdr:colOff>47625</xdr:colOff>
      <xdr:row>2</xdr:row>
      <xdr:rowOff>152400</xdr:rowOff>
    </xdr:to>
    <xdr:sp macro="" textlink="">
      <xdr:nvSpPr>
        <xdr:cNvPr id="2" name="Rectangle 1">
          <a:extLst>
            <a:ext uri="{FF2B5EF4-FFF2-40B4-BE49-F238E27FC236}">
              <a16:creationId xmlns:a16="http://schemas.microsoft.com/office/drawing/2014/main" id="{B9C6747F-5371-D402-7ACB-C7EE8ADC8CC0}"/>
            </a:ext>
          </a:extLst>
        </xdr:cNvPr>
        <xdr:cNvSpPr/>
      </xdr:nvSpPr>
      <xdr:spPr>
        <a:xfrm>
          <a:off x="19051" y="19050"/>
          <a:ext cx="13439774" cy="514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xdr:colOff>
      <xdr:row>0</xdr:row>
      <xdr:rowOff>76200</xdr:rowOff>
    </xdr:from>
    <xdr:to>
      <xdr:col>14</xdr:col>
      <xdr:colOff>428625</xdr:colOff>
      <xdr:row>2</xdr:row>
      <xdr:rowOff>28575</xdr:rowOff>
    </xdr:to>
    <xdr:sp macro="" textlink="">
      <xdr:nvSpPr>
        <xdr:cNvPr id="3" name="TextBox 2">
          <a:extLst>
            <a:ext uri="{FF2B5EF4-FFF2-40B4-BE49-F238E27FC236}">
              <a16:creationId xmlns:a16="http://schemas.microsoft.com/office/drawing/2014/main" id="{6B79AA42-6559-8D30-70C4-B55381C38D4E}"/>
            </a:ext>
          </a:extLst>
        </xdr:cNvPr>
        <xdr:cNvSpPr txBox="1"/>
      </xdr:nvSpPr>
      <xdr:spPr>
        <a:xfrm>
          <a:off x="3048001" y="76200"/>
          <a:ext cx="5915024"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xdr:txBody>
    </xdr:sp>
    <xdr:clientData/>
  </xdr:twoCellAnchor>
  <xdr:twoCellAnchor editAs="oneCell">
    <xdr:from>
      <xdr:col>0</xdr:col>
      <xdr:colOff>19050</xdr:colOff>
      <xdr:row>21</xdr:row>
      <xdr:rowOff>47624</xdr:rowOff>
    </xdr:from>
    <xdr:to>
      <xdr:col>2</xdr:col>
      <xdr:colOff>311850</xdr:colOff>
      <xdr:row>30</xdr:row>
      <xdr:rowOff>104775</xdr:rowOff>
    </xdr:to>
    <mc:AlternateContent xmlns:mc="http://schemas.openxmlformats.org/markup-compatibility/2006" xmlns:a14="http://schemas.microsoft.com/office/drawing/2010/main">
      <mc:Choice Requires="a14">
        <xdr:graphicFrame macro="">
          <xdr:nvGraphicFramePr>
            <xdr:cNvPr id="7" name="BusinessUnit 1">
              <a:extLst>
                <a:ext uri="{FF2B5EF4-FFF2-40B4-BE49-F238E27FC236}">
                  <a16:creationId xmlns:a16="http://schemas.microsoft.com/office/drawing/2014/main" id="{E3C491F1-D987-4097-AEB1-41AA45B4995F}"/>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19050" y="4048124"/>
              <a:ext cx="1512000" cy="1771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171450</xdr:rowOff>
    </xdr:from>
    <xdr:to>
      <xdr:col>2</xdr:col>
      <xdr:colOff>311850</xdr:colOff>
      <xdr:row>20</xdr:row>
      <xdr:rowOff>180975</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BC87C56E-CE45-4C5E-8D98-EE8A4C6EE4F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050" y="1504950"/>
              <a:ext cx="15120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xdr:row>
      <xdr:rowOff>171449</xdr:rowOff>
    </xdr:from>
    <xdr:to>
      <xdr:col>2</xdr:col>
      <xdr:colOff>311850</xdr:colOff>
      <xdr:row>7</xdr:row>
      <xdr:rowOff>142874</xdr:rowOff>
    </xdr:to>
    <mc:AlternateContent xmlns:mc="http://schemas.openxmlformats.org/markup-compatibility/2006" xmlns:a14="http://schemas.microsoft.com/office/drawing/2010/main">
      <mc:Choice Requires="a14">
        <xdr:graphicFrame macro="">
          <xdr:nvGraphicFramePr>
            <xdr:cNvPr id="9" name="CustomerType 1">
              <a:extLst>
                <a:ext uri="{FF2B5EF4-FFF2-40B4-BE49-F238E27FC236}">
                  <a16:creationId xmlns:a16="http://schemas.microsoft.com/office/drawing/2014/main" id="{991A4056-51B9-4637-9564-D69382E79153}"/>
                </a:ext>
              </a:extLst>
            </xdr:cNvPr>
            <xdr:cNvGraphicFramePr/>
          </xdr:nvGraphicFramePr>
          <xdr:xfrm>
            <a:off x="0" y="0"/>
            <a:ext cx="0" cy="0"/>
          </xdr:xfrm>
          <a:graphic>
            <a:graphicData uri="http://schemas.microsoft.com/office/drawing/2010/slicer">
              <sle:slicer xmlns:sle="http://schemas.microsoft.com/office/drawing/2010/slicer" name="CustomerType 1"/>
            </a:graphicData>
          </a:graphic>
        </xdr:graphicFrame>
      </mc:Choice>
      <mc:Fallback xmlns="">
        <xdr:sp macro="" textlink="">
          <xdr:nvSpPr>
            <xdr:cNvPr id="0" name=""/>
            <xdr:cNvSpPr>
              <a:spLocks noTextEdit="1"/>
            </xdr:cNvSpPr>
          </xdr:nvSpPr>
          <xdr:spPr>
            <a:xfrm>
              <a:off x="19050" y="552449"/>
              <a:ext cx="15120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314325</xdr:colOff>
      <xdr:row>2</xdr:row>
      <xdr:rowOff>161925</xdr:rowOff>
    </xdr:from>
    <xdr:to>
      <xdr:col>5</xdr:col>
      <xdr:colOff>314325</xdr:colOff>
      <xdr:row>6</xdr:row>
      <xdr:rowOff>85725</xdr:rowOff>
    </xdr:to>
    <xdr:sp macro="" textlink="">
      <xdr:nvSpPr>
        <xdr:cNvPr id="11" name="Rectangle: Rounded Corners 10">
          <a:extLst>
            <a:ext uri="{FF2B5EF4-FFF2-40B4-BE49-F238E27FC236}">
              <a16:creationId xmlns:a16="http://schemas.microsoft.com/office/drawing/2014/main" id="{88F3664F-3977-D25A-8486-1EA01FC636B1}"/>
            </a:ext>
          </a:extLst>
        </xdr:cNvPr>
        <xdr:cNvSpPr/>
      </xdr:nvSpPr>
      <xdr:spPr>
        <a:xfrm>
          <a:off x="1533525" y="542925"/>
          <a:ext cx="1962150" cy="685800"/>
        </a:xfrm>
        <a:prstGeom prst="roundRect">
          <a:avLst/>
        </a:prstGeom>
        <a:solidFill>
          <a:srgbClr val="002060">
            <a:alpha val="85000"/>
          </a:srgbClr>
        </a:solidFill>
        <a:ln>
          <a:solidFill>
            <a:schemeClr val="bg1">
              <a:lumMod val="75000"/>
            </a:schemeClr>
          </a:solidFill>
        </a:ln>
        <a:effectLst>
          <a:outerShdw blurRad="50800" dist="38100" dir="2700000" algn="tl"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2</xdr:row>
      <xdr:rowOff>180976</xdr:rowOff>
    </xdr:from>
    <xdr:to>
      <xdr:col>5</xdr:col>
      <xdr:colOff>276224</xdr:colOff>
      <xdr:row>4</xdr:row>
      <xdr:rowOff>66676</xdr:rowOff>
    </xdr:to>
    <xdr:sp macro="" textlink="$E$8">
      <xdr:nvSpPr>
        <xdr:cNvPr id="12" name="TextBox 11">
          <a:extLst>
            <a:ext uri="{FF2B5EF4-FFF2-40B4-BE49-F238E27FC236}">
              <a16:creationId xmlns:a16="http://schemas.microsoft.com/office/drawing/2014/main" id="{5FC667F6-B7EF-90DC-D0FA-65BA8C6B4A64}"/>
            </a:ext>
          </a:extLst>
        </xdr:cNvPr>
        <xdr:cNvSpPr txBox="1"/>
      </xdr:nvSpPr>
      <xdr:spPr>
        <a:xfrm>
          <a:off x="2247900" y="561976"/>
          <a:ext cx="12096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C9319A-B920-43D3-8AAE-015AA7060D35}" type="TxLink">
            <a:rPr lang="en-US" sz="1500" b="0" i="0" u="none" strike="noStrike">
              <a:solidFill>
                <a:schemeClr val="bg1"/>
              </a:solidFill>
              <a:latin typeface="Cambria Math" panose="02040503050406030204" pitchFamily="18" charset="0"/>
              <a:ea typeface="Cambria Math" panose="02040503050406030204" pitchFamily="18" charset="0"/>
              <a:cs typeface="Calibri"/>
            </a:rPr>
            <a:pPr/>
            <a:t> ₹ 99,49,000 </a:t>
          </a:fld>
          <a:endParaRPr lang="en-IN" sz="1500">
            <a:solidFill>
              <a:schemeClr val="bg1"/>
            </a:solidFill>
            <a:latin typeface="Cambria Math" panose="02040503050406030204" pitchFamily="18" charset="0"/>
            <a:ea typeface="Cambria Math" panose="02040503050406030204" pitchFamily="18" charset="0"/>
          </a:endParaRPr>
        </a:p>
      </xdr:txBody>
    </xdr:sp>
    <xdr:clientData/>
  </xdr:twoCellAnchor>
  <xdr:twoCellAnchor>
    <xdr:from>
      <xdr:col>3</xdr:col>
      <xdr:colOff>552450</xdr:colOff>
      <xdr:row>4</xdr:row>
      <xdr:rowOff>38100</xdr:rowOff>
    </xdr:from>
    <xdr:to>
      <xdr:col>5</xdr:col>
      <xdr:colOff>171450</xdr:colOff>
      <xdr:row>5</xdr:row>
      <xdr:rowOff>114300</xdr:rowOff>
    </xdr:to>
    <xdr:sp macro="" textlink="$E$8">
      <xdr:nvSpPr>
        <xdr:cNvPr id="14" name="TextBox 13">
          <a:extLst>
            <a:ext uri="{FF2B5EF4-FFF2-40B4-BE49-F238E27FC236}">
              <a16:creationId xmlns:a16="http://schemas.microsoft.com/office/drawing/2014/main" id="{59A0BE26-65FC-4EF1-9D58-F5594FCEA6F0}"/>
            </a:ext>
          </a:extLst>
        </xdr:cNvPr>
        <xdr:cNvSpPr txBox="1"/>
      </xdr:nvSpPr>
      <xdr:spPr>
        <a:xfrm>
          <a:off x="2381250" y="800100"/>
          <a:ext cx="971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50">
              <a:solidFill>
                <a:schemeClr val="bg1"/>
              </a:solidFill>
              <a:latin typeface="Cambria Math" panose="02040503050406030204" pitchFamily="18" charset="0"/>
              <a:ea typeface="Cambria Math" panose="02040503050406030204" pitchFamily="18" charset="0"/>
            </a:rPr>
            <a:t>Revenue</a:t>
          </a:r>
        </a:p>
      </xdr:txBody>
    </xdr:sp>
    <xdr:clientData/>
  </xdr:twoCellAnchor>
  <xdr:twoCellAnchor editAs="oneCell">
    <xdr:from>
      <xdr:col>2</xdr:col>
      <xdr:colOff>371476</xdr:colOff>
      <xdr:row>3</xdr:row>
      <xdr:rowOff>19051</xdr:rowOff>
    </xdr:from>
    <xdr:to>
      <xdr:col>3</xdr:col>
      <xdr:colOff>400050</xdr:colOff>
      <xdr:row>5</xdr:row>
      <xdr:rowOff>133350</xdr:rowOff>
    </xdr:to>
    <xdr:pic>
      <xdr:nvPicPr>
        <xdr:cNvPr id="18" name="Graphic 17" descr="Money with solid fill">
          <a:extLst>
            <a:ext uri="{FF2B5EF4-FFF2-40B4-BE49-F238E27FC236}">
              <a16:creationId xmlns:a16="http://schemas.microsoft.com/office/drawing/2014/main" id="{B7E87794-4FB1-BE25-52AE-AB6A22576E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0676" y="590551"/>
          <a:ext cx="638174" cy="495299"/>
        </a:xfrm>
        <a:prstGeom prst="rect">
          <a:avLst/>
        </a:prstGeom>
      </xdr:spPr>
    </xdr:pic>
    <xdr:clientData/>
  </xdr:twoCellAnchor>
  <xdr:twoCellAnchor>
    <xdr:from>
      <xdr:col>5</xdr:col>
      <xdr:colOff>323850</xdr:colOff>
      <xdr:row>2</xdr:row>
      <xdr:rowOff>161925</xdr:rowOff>
    </xdr:from>
    <xdr:to>
      <xdr:col>8</xdr:col>
      <xdr:colOff>457200</xdr:colOff>
      <xdr:row>6</xdr:row>
      <xdr:rowOff>85725</xdr:rowOff>
    </xdr:to>
    <xdr:sp macro="" textlink="">
      <xdr:nvSpPr>
        <xdr:cNvPr id="19" name="Rectangle: Rounded Corners 18">
          <a:extLst>
            <a:ext uri="{FF2B5EF4-FFF2-40B4-BE49-F238E27FC236}">
              <a16:creationId xmlns:a16="http://schemas.microsoft.com/office/drawing/2014/main" id="{6055CC17-D739-F0E1-C107-F22173BA824E}"/>
            </a:ext>
          </a:extLst>
        </xdr:cNvPr>
        <xdr:cNvSpPr/>
      </xdr:nvSpPr>
      <xdr:spPr>
        <a:xfrm>
          <a:off x="3505200" y="542925"/>
          <a:ext cx="1962150" cy="685800"/>
        </a:xfrm>
        <a:prstGeom prst="roundRect">
          <a:avLst/>
        </a:prstGeom>
        <a:solidFill>
          <a:srgbClr val="002060">
            <a:alpha val="85000"/>
          </a:srgbClr>
        </a:solidFill>
        <a:ln>
          <a:solidFill>
            <a:schemeClr val="bg1">
              <a:lumMod val="75000"/>
            </a:schemeClr>
          </a:solidFill>
        </a:ln>
        <a:effectLst>
          <a:outerShdw blurRad="50800" dist="38100" dir="2700000" algn="tl"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428625</xdr:colOff>
      <xdr:row>2</xdr:row>
      <xdr:rowOff>180976</xdr:rowOff>
    </xdr:from>
    <xdr:to>
      <xdr:col>8</xdr:col>
      <xdr:colOff>419099</xdr:colOff>
      <xdr:row>4</xdr:row>
      <xdr:rowOff>66676</xdr:rowOff>
    </xdr:to>
    <xdr:sp macro="" textlink="$E$9">
      <xdr:nvSpPr>
        <xdr:cNvPr id="20" name="TextBox 19">
          <a:extLst>
            <a:ext uri="{FF2B5EF4-FFF2-40B4-BE49-F238E27FC236}">
              <a16:creationId xmlns:a16="http://schemas.microsoft.com/office/drawing/2014/main" id="{577C6593-28F5-91A5-1A93-09831F05D85B}"/>
            </a:ext>
          </a:extLst>
        </xdr:cNvPr>
        <xdr:cNvSpPr txBox="1"/>
      </xdr:nvSpPr>
      <xdr:spPr>
        <a:xfrm>
          <a:off x="4219575" y="561976"/>
          <a:ext cx="12096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1CE2F9-7A37-46DF-9D12-F2F9E4256186}" type="TxLink">
            <a:rPr lang="en-US" sz="1500" b="0" i="0" u="none" strike="noStrike">
              <a:solidFill>
                <a:schemeClr val="bg1"/>
              </a:solidFill>
              <a:latin typeface="Cambria Math" panose="02040503050406030204" pitchFamily="18" charset="0"/>
              <a:ea typeface="Cambria Math" panose="02040503050406030204" pitchFamily="18" charset="0"/>
              <a:cs typeface="Calibri"/>
            </a:rPr>
            <a:pPr marL="0" indent="0"/>
            <a:t> ₹ 46,02,000 </a:t>
          </a:fld>
          <a:endParaRPr lang="en-IN" sz="1500" b="0"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6</xdr:col>
      <xdr:colOff>561975</xdr:colOff>
      <xdr:row>4</xdr:row>
      <xdr:rowOff>19050</xdr:rowOff>
    </xdr:from>
    <xdr:to>
      <xdr:col>8</xdr:col>
      <xdr:colOff>361950</xdr:colOff>
      <xdr:row>5</xdr:row>
      <xdr:rowOff>95250</xdr:rowOff>
    </xdr:to>
    <xdr:sp macro="" textlink="$E$8">
      <xdr:nvSpPr>
        <xdr:cNvPr id="21" name="TextBox 20">
          <a:extLst>
            <a:ext uri="{FF2B5EF4-FFF2-40B4-BE49-F238E27FC236}">
              <a16:creationId xmlns:a16="http://schemas.microsoft.com/office/drawing/2014/main" id="{5DBA6CD1-389C-3AC2-1F04-2035D1282151}"/>
            </a:ext>
          </a:extLst>
        </xdr:cNvPr>
        <xdr:cNvSpPr txBox="1"/>
      </xdr:nvSpPr>
      <xdr:spPr>
        <a:xfrm>
          <a:off x="4352925" y="781050"/>
          <a:ext cx="1019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50">
              <a:solidFill>
                <a:schemeClr val="bg1"/>
              </a:solidFill>
              <a:latin typeface="Cambria Math" panose="02040503050406030204" pitchFamily="18" charset="0"/>
              <a:ea typeface="Cambria Math" panose="02040503050406030204" pitchFamily="18" charset="0"/>
            </a:rPr>
            <a:t>Expense</a:t>
          </a:r>
        </a:p>
      </xdr:txBody>
    </xdr:sp>
    <xdr:clientData/>
  </xdr:twoCellAnchor>
  <xdr:twoCellAnchor editAs="oneCell">
    <xdr:from>
      <xdr:col>5</xdr:col>
      <xdr:colOff>452438</xdr:colOff>
      <xdr:row>3</xdr:row>
      <xdr:rowOff>19051</xdr:rowOff>
    </xdr:from>
    <xdr:to>
      <xdr:col>6</xdr:col>
      <xdr:colOff>338137</xdr:colOff>
      <xdr:row>5</xdr:row>
      <xdr:rowOff>133350</xdr:rowOff>
    </xdr:to>
    <xdr:pic>
      <xdr:nvPicPr>
        <xdr:cNvPr id="22" name="Graphic 21" descr="Bar graph with downward trend with solid fill">
          <a:extLst>
            <a:ext uri="{FF2B5EF4-FFF2-40B4-BE49-F238E27FC236}">
              <a16:creationId xmlns:a16="http://schemas.microsoft.com/office/drawing/2014/main" id="{AA74A2EB-0B03-FE71-5A80-9424151737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633788" y="590551"/>
          <a:ext cx="495299" cy="495299"/>
        </a:xfrm>
        <a:prstGeom prst="rect">
          <a:avLst/>
        </a:prstGeom>
      </xdr:spPr>
    </xdr:pic>
    <xdr:clientData/>
  </xdr:twoCellAnchor>
  <xdr:twoCellAnchor>
    <xdr:from>
      <xdr:col>8</xdr:col>
      <xdr:colOff>466725</xdr:colOff>
      <xdr:row>2</xdr:row>
      <xdr:rowOff>161925</xdr:rowOff>
    </xdr:from>
    <xdr:to>
      <xdr:col>11</xdr:col>
      <xdr:colOff>600075</xdr:colOff>
      <xdr:row>6</xdr:row>
      <xdr:rowOff>85725</xdr:rowOff>
    </xdr:to>
    <xdr:sp macro="" textlink="">
      <xdr:nvSpPr>
        <xdr:cNvPr id="23" name="Rectangle: Rounded Corners 22">
          <a:extLst>
            <a:ext uri="{FF2B5EF4-FFF2-40B4-BE49-F238E27FC236}">
              <a16:creationId xmlns:a16="http://schemas.microsoft.com/office/drawing/2014/main" id="{022F8642-4539-538E-5CD6-9137CCE44DF1}"/>
            </a:ext>
          </a:extLst>
        </xdr:cNvPr>
        <xdr:cNvSpPr/>
      </xdr:nvSpPr>
      <xdr:spPr>
        <a:xfrm>
          <a:off x="5476875" y="542925"/>
          <a:ext cx="1962150" cy="685800"/>
        </a:xfrm>
        <a:prstGeom prst="roundRect">
          <a:avLst/>
        </a:prstGeom>
        <a:solidFill>
          <a:srgbClr val="002060">
            <a:alpha val="85000"/>
          </a:srgbClr>
        </a:solidFill>
        <a:ln>
          <a:solidFill>
            <a:schemeClr val="bg1">
              <a:lumMod val="75000"/>
            </a:schemeClr>
          </a:solidFill>
        </a:ln>
        <a:effectLst>
          <a:outerShdw blurRad="50800" dist="38100" dir="2700000" algn="tl"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571500</xdr:colOff>
      <xdr:row>2</xdr:row>
      <xdr:rowOff>180976</xdr:rowOff>
    </xdr:from>
    <xdr:to>
      <xdr:col>11</xdr:col>
      <xdr:colOff>561974</xdr:colOff>
      <xdr:row>4</xdr:row>
      <xdr:rowOff>66676</xdr:rowOff>
    </xdr:to>
    <xdr:sp macro="" textlink="$E$10">
      <xdr:nvSpPr>
        <xdr:cNvPr id="24" name="TextBox 23">
          <a:extLst>
            <a:ext uri="{FF2B5EF4-FFF2-40B4-BE49-F238E27FC236}">
              <a16:creationId xmlns:a16="http://schemas.microsoft.com/office/drawing/2014/main" id="{A3B59EB6-94EE-CF10-7B6B-F6C9FE585376}"/>
            </a:ext>
          </a:extLst>
        </xdr:cNvPr>
        <xdr:cNvSpPr txBox="1"/>
      </xdr:nvSpPr>
      <xdr:spPr>
        <a:xfrm>
          <a:off x="6191250" y="561976"/>
          <a:ext cx="12096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8C5D2B-9D98-4E7A-AB0F-FA1D25C31057}" type="TxLink">
            <a:rPr lang="en-US" sz="1500" b="0" i="0" u="none" strike="noStrike">
              <a:solidFill>
                <a:schemeClr val="bg1"/>
              </a:solidFill>
              <a:latin typeface="Cambria Math" panose="02040503050406030204" pitchFamily="18" charset="0"/>
              <a:ea typeface="Cambria Math" panose="02040503050406030204" pitchFamily="18" charset="0"/>
              <a:cs typeface="Calibri"/>
            </a:rPr>
            <a:pPr marL="0" indent="0"/>
            <a:t> ₹ 45,44,950 </a:t>
          </a:fld>
          <a:endParaRPr lang="en-IN" sz="1500" b="0"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10</xdr:col>
      <xdr:colOff>266700</xdr:colOff>
      <xdr:row>4</xdr:row>
      <xdr:rowOff>38100</xdr:rowOff>
    </xdr:from>
    <xdr:to>
      <xdr:col>11</xdr:col>
      <xdr:colOff>447675</xdr:colOff>
      <xdr:row>5</xdr:row>
      <xdr:rowOff>114300</xdr:rowOff>
    </xdr:to>
    <xdr:sp macro="" textlink="$E$8">
      <xdr:nvSpPr>
        <xdr:cNvPr id="25" name="TextBox 24">
          <a:extLst>
            <a:ext uri="{FF2B5EF4-FFF2-40B4-BE49-F238E27FC236}">
              <a16:creationId xmlns:a16="http://schemas.microsoft.com/office/drawing/2014/main" id="{6B13ED7E-C35C-E13C-ED1D-7B8BB1D5CB1B}"/>
            </a:ext>
          </a:extLst>
        </xdr:cNvPr>
        <xdr:cNvSpPr txBox="1"/>
      </xdr:nvSpPr>
      <xdr:spPr>
        <a:xfrm>
          <a:off x="6496050" y="800100"/>
          <a:ext cx="7905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50">
              <a:solidFill>
                <a:schemeClr val="bg1"/>
              </a:solidFill>
              <a:latin typeface="Cambria Math" panose="02040503050406030204" pitchFamily="18" charset="0"/>
              <a:ea typeface="Cambria Math" panose="02040503050406030204" pitchFamily="18" charset="0"/>
            </a:rPr>
            <a:t>Profit</a:t>
          </a:r>
        </a:p>
      </xdr:txBody>
    </xdr:sp>
    <xdr:clientData/>
  </xdr:twoCellAnchor>
  <xdr:twoCellAnchor editAs="oneCell">
    <xdr:from>
      <xdr:col>8</xdr:col>
      <xdr:colOff>595313</xdr:colOff>
      <xdr:row>3</xdr:row>
      <xdr:rowOff>19051</xdr:rowOff>
    </xdr:from>
    <xdr:to>
      <xdr:col>9</xdr:col>
      <xdr:colOff>481012</xdr:colOff>
      <xdr:row>5</xdr:row>
      <xdr:rowOff>133350</xdr:rowOff>
    </xdr:to>
    <xdr:pic>
      <xdr:nvPicPr>
        <xdr:cNvPr id="26" name="Graphic 25" descr="Bar graph with upward trend with solid fill">
          <a:extLst>
            <a:ext uri="{FF2B5EF4-FFF2-40B4-BE49-F238E27FC236}">
              <a16:creationId xmlns:a16="http://schemas.microsoft.com/office/drawing/2014/main" id="{9B34A2AF-D5D1-81F9-34D6-BB10BDA5F6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605463" y="590551"/>
          <a:ext cx="495299" cy="495299"/>
        </a:xfrm>
        <a:prstGeom prst="rect">
          <a:avLst/>
        </a:prstGeom>
      </xdr:spPr>
    </xdr:pic>
    <xdr:clientData/>
  </xdr:twoCellAnchor>
  <xdr:twoCellAnchor>
    <xdr:from>
      <xdr:col>12</xdr:col>
      <xdr:colOff>9525</xdr:colOff>
      <xdr:row>2</xdr:row>
      <xdr:rowOff>161925</xdr:rowOff>
    </xdr:from>
    <xdr:to>
      <xdr:col>15</xdr:col>
      <xdr:colOff>142875</xdr:colOff>
      <xdr:row>6</xdr:row>
      <xdr:rowOff>85725</xdr:rowOff>
    </xdr:to>
    <xdr:sp macro="" textlink="">
      <xdr:nvSpPr>
        <xdr:cNvPr id="27" name="Rectangle: Rounded Corners 26">
          <a:extLst>
            <a:ext uri="{FF2B5EF4-FFF2-40B4-BE49-F238E27FC236}">
              <a16:creationId xmlns:a16="http://schemas.microsoft.com/office/drawing/2014/main" id="{B60AF4B7-11A2-8F86-F165-0F770DDE1203}"/>
            </a:ext>
          </a:extLst>
        </xdr:cNvPr>
        <xdr:cNvSpPr/>
      </xdr:nvSpPr>
      <xdr:spPr>
        <a:xfrm>
          <a:off x="7458075" y="542925"/>
          <a:ext cx="1962150" cy="685800"/>
        </a:xfrm>
        <a:prstGeom prst="roundRect">
          <a:avLst/>
        </a:prstGeom>
        <a:solidFill>
          <a:srgbClr val="002060">
            <a:alpha val="85000"/>
          </a:srgbClr>
        </a:solidFill>
        <a:ln>
          <a:solidFill>
            <a:schemeClr val="bg1">
              <a:lumMod val="75000"/>
            </a:schemeClr>
          </a:solidFill>
        </a:ln>
        <a:effectLst>
          <a:outerShdw blurRad="50800" dist="38100" dir="2700000" algn="tl"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114300</xdr:colOff>
      <xdr:row>2</xdr:row>
      <xdr:rowOff>180976</xdr:rowOff>
    </xdr:from>
    <xdr:to>
      <xdr:col>15</xdr:col>
      <xdr:colOff>104774</xdr:colOff>
      <xdr:row>4</xdr:row>
      <xdr:rowOff>66676</xdr:rowOff>
    </xdr:to>
    <xdr:sp macro="" textlink="$E$11">
      <xdr:nvSpPr>
        <xdr:cNvPr id="28" name="TextBox 27">
          <a:extLst>
            <a:ext uri="{FF2B5EF4-FFF2-40B4-BE49-F238E27FC236}">
              <a16:creationId xmlns:a16="http://schemas.microsoft.com/office/drawing/2014/main" id="{9CFEFAE1-DF85-CF8B-BCDF-40E93CB84553}"/>
            </a:ext>
          </a:extLst>
        </xdr:cNvPr>
        <xdr:cNvSpPr txBox="1"/>
      </xdr:nvSpPr>
      <xdr:spPr>
        <a:xfrm>
          <a:off x="8172450" y="561976"/>
          <a:ext cx="12096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E3CF0B-89D1-46D3-9DA8-385E169415D9}" type="TxLink">
            <a:rPr lang="en-US" sz="1500" b="0" i="0" u="none" strike="noStrike">
              <a:solidFill>
                <a:schemeClr val="bg1"/>
              </a:solidFill>
              <a:latin typeface="Cambria Math" panose="02040503050406030204" pitchFamily="18" charset="0"/>
              <a:ea typeface="Cambria Math" panose="02040503050406030204" pitchFamily="18" charset="0"/>
              <a:cs typeface="Calibri"/>
            </a:rPr>
            <a:pPr marL="0" indent="0"/>
            <a:t> ₹ 97,34,000 </a:t>
          </a:fld>
          <a:endParaRPr lang="en-IN" sz="1500" b="0"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13</xdr:col>
      <xdr:colOff>323850</xdr:colOff>
      <xdr:row>4</xdr:row>
      <xdr:rowOff>28575</xdr:rowOff>
    </xdr:from>
    <xdr:to>
      <xdr:col>14</xdr:col>
      <xdr:colOff>542925</xdr:colOff>
      <xdr:row>5</xdr:row>
      <xdr:rowOff>104775</xdr:rowOff>
    </xdr:to>
    <xdr:sp macro="" textlink="$E$8">
      <xdr:nvSpPr>
        <xdr:cNvPr id="29" name="TextBox 28">
          <a:extLst>
            <a:ext uri="{FF2B5EF4-FFF2-40B4-BE49-F238E27FC236}">
              <a16:creationId xmlns:a16="http://schemas.microsoft.com/office/drawing/2014/main" id="{67479874-0B84-AF20-6C17-A53FAB164183}"/>
            </a:ext>
          </a:extLst>
        </xdr:cNvPr>
        <xdr:cNvSpPr txBox="1"/>
      </xdr:nvSpPr>
      <xdr:spPr>
        <a:xfrm>
          <a:off x="8382000" y="790575"/>
          <a:ext cx="8286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50">
              <a:solidFill>
                <a:schemeClr val="bg1"/>
              </a:solidFill>
              <a:latin typeface="Cambria Math" panose="02040503050406030204" pitchFamily="18" charset="0"/>
              <a:ea typeface="Cambria Math" panose="02040503050406030204" pitchFamily="18" charset="0"/>
            </a:rPr>
            <a:t>Budget</a:t>
          </a:r>
        </a:p>
      </xdr:txBody>
    </xdr:sp>
    <xdr:clientData/>
  </xdr:twoCellAnchor>
  <xdr:twoCellAnchor editAs="oneCell">
    <xdr:from>
      <xdr:col>12</xdr:col>
      <xdr:colOff>138113</xdr:colOff>
      <xdr:row>3</xdr:row>
      <xdr:rowOff>19051</xdr:rowOff>
    </xdr:from>
    <xdr:to>
      <xdr:col>13</xdr:col>
      <xdr:colOff>23812</xdr:colOff>
      <xdr:row>5</xdr:row>
      <xdr:rowOff>133350</xdr:rowOff>
    </xdr:to>
    <xdr:pic>
      <xdr:nvPicPr>
        <xdr:cNvPr id="30" name="Graphic 29" descr="List with solid fill">
          <a:extLst>
            <a:ext uri="{FF2B5EF4-FFF2-40B4-BE49-F238E27FC236}">
              <a16:creationId xmlns:a16="http://schemas.microsoft.com/office/drawing/2014/main" id="{F42AD63B-3F20-AACE-DB33-D4826B5A1F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586663" y="590551"/>
          <a:ext cx="495299" cy="495299"/>
        </a:xfrm>
        <a:prstGeom prst="rect">
          <a:avLst/>
        </a:prstGeom>
      </xdr:spPr>
    </xdr:pic>
    <xdr:clientData/>
  </xdr:twoCellAnchor>
  <xdr:twoCellAnchor>
    <xdr:from>
      <xdr:col>15</xdr:col>
      <xdr:colOff>171450</xdr:colOff>
      <xdr:row>2</xdr:row>
      <xdr:rowOff>161925</xdr:rowOff>
    </xdr:from>
    <xdr:to>
      <xdr:col>18</xdr:col>
      <xdr:colOff>304800</xdr:colOff>
      <xdr:row>6</xdr:row>
      <xdr:rowOff>85725</xdr:rowOff>
    </xdr:to>
    <xdr:sp macro="" textlink="">
      <xdr:nvSpPr>
        <xdr:cNvPr id="31" name="Rectangle: Rounded Corners 30">
          <a:extLst>
            <a:ext uri="{FF2B5EF4-FFF2-40B4-BE49-F238E27FC236}">
              <a16:creationId xmlns:a16="http://schemas.microsoft.com/office/drawing/2014/main" id="{233414B6-F42D-64B5-A78A-6E626B294104}"/>
            </a:ext>
          </a:extLst>
        </xdr:cNvPr>
        <xdr:cNvSpPr/>
      </xdr:nvSpPr>
      <xdr:spPr>
        <a:xfrm>
          <a:off x="9448800" y="542925"/>
          <a:ext cx="1962150" cy="685800"/>
        </a:xfrm>
        <a:prstGeom prst="roundRect">
          <a:avLst/>
        </a:prstGeom>
        <a:solidFill>
          <a:srgbClr val="002060">
            <a:alpha val="85000"/>
          </a:srgbClr>
        </a:solidFill>
        <a:ln>
          <a:solidFill>
            <a:schemeClr val="bg1">
              <a:lumMod val="75000"/>
            </a:schemeClr>
          </a:solidFill>
        </a:ln>
        <a:effectLst>
          <a:outerShdw blurRad="50800" dist="38100" dir="2700000" algn="tl"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276225</xdr:colOff>
      <xdr:row>2</xdr:row>
      <xdr:rowOff>180976</xdr:rowOff>
    </xdr:from>
    <xdr:to>
      <xdr:col>18</xdr:col>
      <xdr:colOff>266699</xdr:colOff>
      <xdr:row>4</xdr:row>
      <xdr:rowOff>66676</xdr:rowOff>
    </xdr:to>
    <xdr:sp macro="" textlink="$E$12">
      <xdr:nvSpPr>
        <xdr:cNvPr id="32" name="TextBox 31">
          <a:extLst>
            <a:ext uri="{FF2B5EF4-FFF2-40B4-BE49-F238E27FC236}">
              <a16:creationId xmlns:a16="http://schemas.microsoft.com/office/drawing/2014/main" id="{90D1A9CE-3CF8-E300-9DC7-847DDB686D96}"/>
            </a:ext>
          </a:extLst>
        </xdr:cNvPr>
        <xdr:cNvSpPr txBox="1"/>
      </xdr:nvSpPr>
      <xdr:spPr>
        <a:xfrm>
          <a:off x="10163175" y="561976"/>
          <a:ext cx="12096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8A44B7-6293-410D-990A-827FEF27512E}" type="TxLink">
            <a:rPr lang="en-US" sz="1500" b="0" i="0" u="none" strike="noStrike">
              <a:solidFill>
                <a:schemeClr val="bg1"/>
              </a:solidFill>
              <a:latin typeface="Cambria Math" panose="02040503050406030204" pitchFamily="18" charset="0"/>
              <a:ea typeface="Cambria Math" panose="02040503050406030204" pitchFamily="18" charset="0"/>
              <a:cs typeface="Calibri"/>
            </a:rPr>
            <a:pPr marL="0" indent="0"/>
            <a:t> ₹ 45,44,950 </a:t>
          </a:fld>
          <a:endParaRPr lang="en-IN" sz="1500" b="0"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16</xdr:col>
      <xdr:colOff>381001</xdr:colOff>
      <xdr:row>4</xdr:row>
      <xdr:rowOff>38100</xdr:rowOff>
    </xdr:from>
    <xdr:to>
      <xdr:col>18</xdr:col>
      <xdr:colOff>171451</xdr:colOff>
      <xdr:row>5</xdr:row>
      <xdr:rowOff>114300</xdr:rowOff>
    </xdr:to>
    <xdr:sp macro="" textlink="$E$8">
      <xdr:nvSpPr>
        <xdr:cNvPr id="33" name="TextBox 32">
          <a:extLst>
            <a:ext uri="{FF2B5EF4-FFF2-40B4-BE49-F238E27FC236}">
              <a16:creationId xmlns:a16="http://schemas.microsoft.com/office/drawing/2014/main" id="{044256FD-0AA5-0A01-705D-A23B874EE9CD}"/>
            </a:ext>
          </a:extLst>
        </xdr:cNvPr>
        <xdr:cNvSpPr txBox="1"/>
      </xdr:nvSpPr>
      <xdr:spPr>
        <a:xfrm>
          <a:off x="10267951" y="80010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50">
              <a:solidFill>
                <a:schemeClr val="bg1"/>
              </a:solidFill>
              <a:latin typeface="Cambria Math" panose="02040503050406030204" pitchFamily="18" charset="0"/>
              <a:ea typeface="Cambria Math" panose="02040503050406030204" pitchFamily="18" charset="0"/>
            </a:rPr>
            <a:t>Cash Flow</a:t>
          </a:r>
        </a:p>
      </xdr:txBody>
    </xdr:sp>
    <xdr:clientData/>
  </xdr:twoCellAnchor>
  <xdr:twoCellAnchor editAs="oneCell">
    <xdr:from>
      <xdr:col>15</xdr:col>
      <xdr:colOff>300038</xdr:colOff>
      <xdr:row>3</xdr:row>
      <xdr:rowOff>19051</xdr:rowOff>
    </xdr:from>
    <xdr:to>
      <xdr:col>16</xdr:col>
      <xdr:colOff>185737</xdr:colOff>
      <xdr:row>5</xdr:row>
      <xdr:rowOff>133350</xdr:rowOff>
    </xdr:to>
    <xdr:pic>
      <xdr:nvPicPr>
        <xdr:cNvPr id="34" name="Graphic 33" descr="Bar chart with solid fill">
          <a:extLst>
            <a:ext uri="{FF2B5EF4-FFF2-40B4-BE49-F238E27FC236}">
              <a16:creationId xmlns:a16="http://schemas.microsoft.com/office/drawing/2014/main" id="{DB71CD69-45BD-B50D-FA92-8ECF5F6E95B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577388" y="590551"/>
          <a:ext cx="495299" cy="495299"/>
        </a:xfrm>
        <a:prstGeom prst="rect">
          <a:avLst/>
        </a:prstGeom>
      </xdr:spPr>
    </xdr:pic>
    <xdr:clientData/>
  </xdr:twoCellAnchor>
  <xdr:twoCellAnchor>
    <xdr:from>
      <xdr:col>18</xdr:col>
      <xdr:colOff>333375</xdr:colOff>
      <xdr:row>2</xdr:row>
      <xdr:rowOff>161925</xdr:rowOff>
    </xdr:from>
    <xdr:to>
      <xdr:col>21</xdr:col>
      <xdr:colOff>466725</xdr:colOff>
      <xdr:row>6</xdr:row>
      <xdr:rowOff>85725</xdr:rowOff>
    </xdr:to>
    <xdr:sp macro="" textlink="">
      <xdr:nvSpPr>
        <xdr:cNvPr id="35" name="Rectangle: Rounded Corners 34">
          <a:extLst>
            <a:ext uri="{FF2B5EF4-FFF2-40B4-BE49-F238E27FC236}">
              <a16:creationId xmlns:a16="http://schemas.microsoft.com/office/drawing/2014/main" id="{C1E29ECE-6317-3403-6557-8862EC91A957}"/>
            </a:ext>
          </a:extLst>
        </xdr:cNvPr>
        <xdr:cNvSpPr/>
      </xdr:nvSpPr>
      <xdr:spPr>
        <a:xfrm>
          <a:off x="11439525" y="542925"/>
          <a:ext cx="1962150" cy="685800"/>
        </a:xfrm>
        <a:prstGeom prst="roundRect">
          <a:avLst/>
        </a:prstGeom>
        <a:solidFill>
          <a:srgbClr val="002060">
            <a:alpha val="85000"/>
          </a:srgbClr>
        </a:solidFill>
        <a:ln>
          <a:solidFill>
            <a:schemeClr val="bg1">
              <a:lumMod val="75000"/>
            </a:schemeClr>
          </a:solidFill>
        </a:ln>
        <a:effectLst>
          <a:outerShdw blurRad="50800" dist="38100" dir="2700000" algn="tl"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133350</xdr:colOff>
      <xdr:row>2</xdr:row>
      <xdr:rowOff>180976</xdr:rowOff>
    </xdr:from>
    <xdr:to>
      <xdr:col>21</xdr:col>
      <xdr:colOff>304800</xdr:colOff>
      <xdr:row>4</xdr:row>
      <xdr:rowOff>66676</xdr:rowOff>
    </xdr:to>
    <xdr:sp macro="" textlink="$E$13">
      <xdr:nvSpPr>
        <xdr:cNvPr id="36" name="TextBox 35">
          <a:extLst>
            <a:ext uri="{FF2B5EF4-FFF2-40B4-BE49-F238E27FC236}">
              <a16:creationId xmlns:a16="http://schemas.microsoft.com/office/drawing/2014/main" id="{097AF6DF-BE00-C543-4B6A-9B9239147E5D}"/>
            </a:ext>
          </a:extLst>
        </xdr:cNvPr>
        <xdr:cNvSpPr txBox="1"/>
      </xdr:nvSpPr>
      <xdr:spPr>
        <a:xfrm>
          <a:off x="12458700" y="561976"/>
          <a:ext cx="7810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80DCE4-A489-424E-BB5A-D873F00CF31B}" type="TxLink">
            <a:rPr lang="en-US" sz="1500" b="0" i="0" u="none" strike="noStrike">
              <a:solidFill>
                <a:schemeClr val="bg1"/>
              </a:solidFill>
              <a:latin typeface="Cambria Math" panose="02040503050406030204" pitchFamily="18" charset="0"/>
              <a:ea typeface="Cambria Math" panose="02040503050406030204" pitchFamily="18" charset="0"/>
              <a:cs typeface="Calibri"/>
            </a:rPr>
            <a:pPr/>
            <a:t>101</a:t>
          </a:fld>
          <a:endParaRPr lang="en-IN" sz="1500">
            <a:solidFill>
              <a:schemeClr val="bg1"/>
            </a:solidFill>
            <a:latin typeface="Cambria Math" panose="02040503050406030204" pitchFamily="18" charset="0"/>
            <a:ea typeface="Cambria Math" panose="02040503050406030204" pitchFamily="18" charset="0"/>
          </a:endParaRPr>
        </a:p>
      </xdr:txBody>
    </xdr:sp>
    <xdr:clientData/>
  </xdr:twoCellAnchor>
  <xdr:twoCellAnchor>
    <xdr:from>
      <xdr:col>19</xdr:col>
      <xdr:colOff>495300</xdr:colOff>
      <xdr:row>4</xdr:row>
      <xdr:rowOff>28575</xdr:rowOff>
    </xdr:from>
    <xdr:to>
      <xdr:col>21</xdr:col>
      <xdr:colOff>314325</xdr:colOff>
      <xdr:row>5</xdr:row>
      <xdr:rowOff>104775</xdr:rowOff>
    </xdr:to>
    <xdr:sp macro="" textlink="$E$8">
      <xdr:nvSpPr>
        <xdr:cNvPr id="37" name="TextBox 36">
          <a:extLst>
            <a:ext uri="{FF2B5EF4-FFF2-40B4-BE49-F238E27FC236}">
              <a16:creationId xmlns:a16="http://schemas.microsoft.com/office/drawing/2014/main" id="{68729071-4A2E-35FC-825E-A453AEF45EE5}"/>
            </a:ext>
          </a:extLst>
        </xdr:cNvPr>
        <xdr:cNvSpPr txBox="1"/>
      </xdr:nvSpPr>
      <xdr:spPr>
        <a:xfrm>
          <a:off x="12211050" y="790575"/>
          <a:ext cx="1038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50">
              <a:solidFill>
                <a:schemeClr val="bg1"/>
              </a:solidFill>
              <a:latin typeface="Cambria Math" panose="02040503050406030204" pitchFamily="18" charset="0"/>
              <a:ea typeface="Cambria Math" panose="02040503050406030204" pitchFamily="18" charset="0"/>
            </a:rPr>
            <a:t>Customers</a:t>
          </a:r>
        </a:p>
      </xdr:txBody>
    </xdr:sp>
    <xdr:clientData/>
  </xdr:twoCellAnchor>
  <xdr:twoCellAnchor editAs="oneCell">
    <xdr:from>
      <xdr:col>18</xdr:col>
      <xdr:colOff>490538</xdr:colOff>
      <xdr:row>3</xdr:row>
      <xdr:rowOff>19051</xdr:rowOff>
    </xdr:from>
    <xdr:to>
      <xdr:col>19</xdr:col>
      <xdr:colOff>376237</xdr:colOff>
      <xdr:row>5</xdr:row>
      <xdr:rowOff>133350</xdr:rowOff>
    </xdr:to>
    <xdr:pic>
      <xdr:nvPicPr>
        <xdr:cNvPr id="38" name="Graphic 37" descr="Connections with solid fill">
          <a:extLst>
            <a:ext uri="{FF2B5EF4-FFF2-40B4-BE49-F238E27FC236}">
              <a16:creationId xmlns:a16="http://schemas.microsoft.com/office/drawing/2014/main" id="{84601120-5522-5934-037F-F711C43DEAA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1596688" y="590551"/>
          <a:ext cx="495299" cy="495299"/>
        </a:xfrm>
        <a:prstGeom prst="rect">
          <a:avLst/>
        </a:prstGeom>
      </xdr:spPr>
    </xdr:pic>
    <xdr:clientData/>
  </xdr:twoCellAnchor>
  <xdr:twoCellAnchor>
    <xdr:from>
      <xdr:col>7</xdr:col>
      <xdr:colOff>561975</xdr:colOff>
      <xdr:row>6</xdr:row>
      <xdr:rowOff>95250</xdr:rowOff>
    </xdr:from>
    <xdr:to>
      <xdr:col>13</xdr:col>
      <xdr:colOff>276224</xdr:colOff>
      <xdr:row>30</xdr:row>
      <xdr:rowOff>85725</xdr:rowOff>
    </xdr:to>
    <xdr:graphicFrame macro="">
      <xdr:nvGraphicFramePr>
        <xdr:cNvPr id="48" name="Chart 47">
          <a:extLst>
            <a:ext uri="{FF2B5EF4-FFF2-40B4-BE49-F238E27FC236}">
              <a16:creationId xmlns:a16="http://schemas.microsoft.com/office/drawing/2014/main" id="{8F375D39-4133-49E3-AB3D-79DC1E68A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314325</xdr:colOff>
      <xdr:row>6</xdr:row>
      <xdr:rowOff>95250</xdr:rowOff>
    </xdr:from>
    <xdr:to>
      <xdr:col>7</xdr:col>
      <xdr:colOff>533400</xdr:colOff>
      <xdr:row>18</xdr:row>
      <xdr:rowOff>133350</xdr:rowOff>
    </xdr:to>
    <xdr:graphicFrame macro="">
      <xdr:nvGraphicFramePr>
        <xdr:cNvPr id="49" name="Chart 48">
          <a:extLst>
            <a:ext uri="{FF2B5EF4-FFF2-40B4-BE49-F238E27FC236}">
              <a16:creationId xmlns:a16="http://schemas.microsoft.com/office/drawing/2014/main" id="{2448BF46-0051-4105-94F2-3187E4BB0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314325</xdr:colOff>
      <xdr:row>18</xdr:row>
      <xdr:rowOff>171450</xdr:rowOff>
    </xdr:from>
    <xdr:to>
      <xdr:col>7</xdr:col>
      <xdr:colOff>542925</xdr:colOff>
      <xdr:row>30</xdr:row>
      <xdr:rowOff>95250</xdr:rowOff>
    </xdr:to>
    <xdr:graphicFrame macro="">
      <xdr:nvGraphicFramePr>
        <xdr:cNvPr id="50" name="Chart 49">
          <a:extLst>
            <a:ext uri="{FF2B5EF4-FFF2-40B4-BE49-F238E27FC236}">
              <a16:creationId xmlns:a16="http://schemas.microsoft.com/office/drawing/2014/main" id="{2599CB19-184B-48EC-93F4-4142DC401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285750</xdr:colOff>
      <xdr:row>6</xdr:row>
      <xdr:rowOff>95250</xdr:rowOff>
    </xdr:from>
    <xdr:to>
      <xdr:col>19</xdr:col>
      <xdr:colOff>152400</xdr:colOff>
      <xdr:row>18</xdr:row>
      <xdr:rowOff>161925</xdr:rowOff>
    </xdr:to>
    <xdr:graphicFrame macro="">
      <xdr:nvGraphicFramePr>
        <xdr:cNvPr id="51" name="Chart 50">
          <a:extLst>
            <a:ext uri="{FF2B5EF4-FFF2-40B4-BE49-F238E27FC236}">
              <a16:creationId xmlns:a16="http://schemas.microsoft.com/office/drawing/2014/main" id="{BBD6BED0-3910-4669-9ACF-402324732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285749</xdr:colOff>
      <xdr:row>18</xdr:row>
      <xdr:rowOff>171450</xdr:rowOff>
    </xdr:from>
    <xdr:to>
      <xdr:col>19</xdr:col>
      <xdr:colOff>142874</xdr:colOff>
      <xdr:row>30</xdr:row>
      <xdr:rowOff>95250</xdr:rowOff>
    </xdr:to>
    <xdr:graphicFrame macro="">
      <xdr:nvGraphicFramePr>
        <xdr:cNvPr id="52" name="Chart 51">
          <a:extLst>
            <a:ext uri="{FF2B5EF4-FFF2-40B4-BE49-F238E27FC236}">
              <a16:creationId xmlns:a16="http://schemas.microsoft.com/office/drawing/2014/main" id="{E6E509CA-D58E-4245-A86C-B28D05C5B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19</xdr:col>
      <xdr:colOff>180975</xdr:colOff>
      <xdr:row>9</xdr:row>
      <xdr:rowOff>152400</xdr:rowOff>
    </xdr:from>
    <xdr:to>
      <xdr:col>21</xdr:col>
      <xdr:colOff>545775</xdr:colOff>
      <xdr:row>24</xdr:row>
      <xdr:rowOff>171450</xdr:rowOff>
    </xdr:to>
    <mc:AlternateContent xmlns:mc="http://schemas.openxmlformats.org/markup-compatibility/2006" xmlns:a14="http://schemas.microsoft.com/office/drawing/2010/main">
      <mc:Choice Requires="a14">
        <xdr:graphicFrame macro="">
          <xdr:nvGraphicFramePr>
            <xdr:cNvPr id="4" name="Month 8">
              <a:extLst>
                <a:ext uri="{FF2B5EF4-FFF2-40B4-BE49-F238E27FC236}">
                  <a16:creationId xmlns:a16="http://schemas.microsoft.com/office/drawing/2014/main" id="{FB49EE0B-0094-487D-AF9E-2FC4C4141BF4}"/>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11896725" y="1866900"/>
              <a:ext cx="1584000" cy="287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180975</xdr:colOff>
      <xdr:row>24</xdr:row>
      <xdr:rowOff>180975</xdr:rowOff>
    </xdr:from>
    <xdr:to>
      <xdr:col>21</xdr:col>
      <xdr:colOff>545775</xdr:colOff>
      <xdr:row>30</xdr:row>
      <xdr:rowOff>133350</xdr:rowOff>
    </xdr:to>
    <mc:AlternateContent xmlns:mc="http://schemas.openxmlformats.org/markup-compatibility/2006" xmlns:a14="http://schemas.microsoft.com/office/drawing/2010/main">
      <mc:Choice Requires="a14">
        <xdr:graphicFrame macro="">
          <xdr:nvGraphicFramePr>
            <xdr:cNvPr id="10" name="Region 8">
              <a:extLst>
                <a:ext uri="{FF2B5EF4-FFF2-40B4-BE49-F238E27FC236}">
                  <a16:creationId xmlns:a16="http://schemas.microsoft.com/office/drawing/2014/main" id="{06F0A46D-BE80-410A-8B43-E4D6F047F2B9}"/>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11896725" y="4752975"/>
              <a:ext cx="15840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180975</xdr:colOff>
      <xdr:row>6</xdr:row>
      <xdr:rowOff>95250</xdr:rowOff>
    </xdr:from>
    <xdr:to>
      <xdr:col>21</xdr:col>
      <xdr:colOff>545775</xdr:colOff>
      <xdr:row>9</xdr:row>
      <xdr:rowOff>152400</xdr:rowOff>
    </xdr:to>
    <mc:AlternateContent xmlns:mc="http://schemas.openxmlformats.org/markup-compatibility/2006" xmlns:a14="http://schemas.microsoft.com/office/drawing/2010/main">
      <mc:Choice Requires="a14">
        <xdr:graphicFrame macro="">
          <xdr:nvGraphicFramePr>
            <xdr:cNvPr id="13" name="Year 8">
              <a:extLst>
                <a:ext uri="{FF2B5EF4-FFF2-40B4-BE49-F238E27FC236}">
                  <a16:creationId xmlns:a16="http://schemas.microsoft.com/office/drawing/2014/main" id="{BF2F0E6D-1A00-46B6-ACC1-358B7BD7A599}"/>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1896725" y="1238250"/>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390525</xdr:colOff>
      <xdr:row>5</xdr:row>
      <xdr:rowOff>66675</xdr:rowOff>
    </xdr:from>
    <xdr:to>
      <xdr:col>5</xdr:col>
      <xdr:colOff>438150</xdr:colOff>
      <xdr:row>6</xdr:row>
      <xdr:rowOff>104775</xdr:rowOff>
    </xdr:to>
    <xdr:sp macro="" textlink="">
      <xdr:nvSpPr>
        <xdr:cNvPr id="5" name="TextBox 4">
          <a:hlinkClick xmlns:r="http://schemas.openxmlformats.org/officeDocument/2006/relationships" r:id="rId18"/>
          <a:extLst>
            <a:ext uri="{FF2B5EF4-FFF2-40B4-BE49-F238E27FC236}">
              <a16:creationId xmlns:a16="http://schemas.microsoft.com/office/drawing/2014/main" id="{29C7A7C6-E49F-EF84-40A2-95F738552EAD}"/>
            </a:ext>
          </a:extLst>
        </xdr:cNvPr>
        <xdr:cNvSpPr txBox="1"/>
      </xdr:nvSpPr>
      <xdr:spPr>
        <a:xfrm>
          <a:off x="2828925" y="1019175"/>
          <a:ext cx="790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7</xdr:col>
      <xdr:colOff>466725</xdr:colOff>
      <xdr:row>5</xdr:row>
      <xdr:rowOff>66675</xdr:rowOff>
    </xdr:from>
    <xdr:to>
      <xdr:col>9</xdr:col>
      <xdr:colOff>38100</xdr:colOff>
      <xdr:row>6</xdr:row>
      <xdr:rowOff>104775</xdr:rowOff>
    </xdr:to>
    <xdr:sp macro="" textlink="">
      <xdr:nvSpPr>
        <xdr:cNvPr id="6" name="TextBox 5">
          <a:hlinkClick xmlns:r="http://schemas.openxmlformats.org/officeDocument/2006/relationships" r:id="rId19"/>
          <a:extLst>
            <a:ext uri="{FF2B5EF4-FFF2-40B4-BE49-F238E27FC236}">
              <a16:creationId xmlns:a16="http://schemas.microsoft.com/office/drawing/2014/main" id="{D9EAED3A-7446-45FB-BD6E-3996DDC03DAC}"/>
            </a:ext>
          </a:extLst>
        </xdr:cNvPr>
        <xdr:cNvSpPr txBox="1"/>
      </xdr:nvSpPr>
      <xdr:spPr>
        <a:xfrm>
          <a:off x="4867275" y="1019175"/>
          <a:ext cx="790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10</xdr:col>
      <xdr:colOff>581025</xdr:colOff>
      <xdr:row>5</xdr:row>
      <xdr:rowOff>66675</xdr:rowOff>
    </xdr:from>
    <xdr:to>
      <xdr:col>12</xdr:col>
      <xdr:colOff>152400</xdr:colOff>
      <xdr:row>6</xdr:row>
      <xdr:rowOff>104775</xdr:rowOff>
    </xdr:to>
    <xdr:sp macro="" textlink="">
      <xdr:nvSpPr>
        <xdr:cNvPr id="15" name="TextBox 14">
          <a:hlinkClick xmlns:r="http://schemas.openxmlformats.org/officeDocument/2006/relationships" r:id="rId20"/>
          <a:extLst>
            <a:ext uri="{FF2B5EF4-FFF2-40B4-BE49-F238E27FC236}">
              <a16:creationId xmlns:a16="http://schemas.microsoft.com/office/drawing/2014/main" id="{1E22F305-1D71-42DB-A108-80A8204E2A49}"/>
            </a:ext>
          </a:extLst>
        </xdr:cNvPr>
        <xdr:cNvSpPr txBox="1"/>
      </xdr:nvSpPr>
      <xdr:spPr>
        <a:xfrm>
          <a:off x="6810375" y="1019175"/>
          <a:ext cx="790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14</xdr:col>
      <xdr:colOff>133350</xdr:colOff>
      <xdr:row>5</xdr:row>
      <xdr:rowOff>85725</xdr:rowOff>
    </xdr:from>
    <xdr:to>
      <xdr:col>15</xdr:col>
      <xdr:colOff>314325</xdr:colOff>
      <xdr:row>6</xdr:row>
      <xdr:rowOff>123825</xdr:rowOff>
    </xdr:to>
    <xdr:sp macro="" textlink="">
      <xdr:nvSpPr>
        <xdr:cNvPr id="16" name="TextBox 15">
          <a:hlinkClick xmlns:r="http://schemas.openxmlformats.org/officeDocument/2006/relationships" r:id="rId21"/>
          <a:extLst>
            <a:ext uri="{FF2B5EF4-FFF2-40B4-BE49-F238E27FC236}">
              <a16:creationId xmlns:a16="http://schemas.microsoft.com/office/drawing/2014/main" id="{F21F6B5A-6A39-42DB-BAB0-4E522D656A14}"/>
            </a:ext>
          </a:extLst>
        </xdr:cNvPr>
        <xdr:cNvSpPr txBox="1"/>
      </xdr:nvSpPr>
      <xdr:spPr>
        <a:xfrm>
          <a:off x="8801100" y="1038225"/>
          <a:ext cx="790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17</xdr:col>
      <xdr:colOff>333375</xdr:colOff>
      <xdr:row>5</xdr:row>
      <xdr:rowOff>76200</xdr:rowOff>
    </xdr:from>
    <xdr:to>
      <xdr:col>18</xdr:col>
      <xdr:colOff>514350</xdr:colOff>
      <xdr:row>6</xdr:row>
      <xdr:rowOff>114300</xdr:rowOff>
    </xdr:to>
    <xdr:sp macro="" textlink="">
      <xdr:nvSpPr>
        <xdr:cNvPr id="17" name="TextBox 16">
          <a:hlinkClick xmlns:r="http://schemas.openxmlformats.org/officeDocument/2006/relationships" r:id="rId22"/>
          <a:extLst>
            <a:ext uri="{FF2B5EF4-FFF2-40B4-BE49-F238E27FC236}">
              <a16:creationId xmlns:a16="http://schemas.microsoft.com/office/drawing/2014/main" id="{CBDE2318-209D-4AD2-8268-B9C3A2A03EB2}"/>
            </a:ext>
          </a:extLst>
        </xdr:cNvPr>
        <xdr:cNvSpPr txBox="1"/>
      </xdr:nvSpPr>
      <xdr:spPr>
        <a:xfrm>
          <a:off x="10829925" y="1028700"/>
          <a:ext cx="790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20</xdr:col>
      <xdr:colOff>485775</xdr:colOff>
      <xdr:row>5</xdr:row>
      <xdr:rowOff>66675</xdr:rowOff>
    </xdr:from>
    <xdr:to>
      <xdr:col>22</xdr:col>
      <xdr:colOff>57150</xdr:colOff>
      <xdr:row>6</xdr:row>
      <xdr:rowOff>104775</xdr:rowOff>
    </xdr:to>
    <xdr:sp macro="" textlink="">
      <xdr:nvSpPr>
        <xdr:cNvPr id="41" name="TextBox 40">
          <a:hlinkClick xmlns:r="http://schemas.openxmlformats.org/officeDocument/2006/relationships" r:id="rId23"/>
          <a:extLst>
            <a:ext uri="{FF2B5EF4-FFF2-40B4-BE49-F238E27FC236}">
              <a16:creationId xmlns:a16="http://schemas.microsoft.com/office/drawing/2014/main" id="{F42BED07-CDB5-44DE-BC97-A5E5D6901BB3}"/>
            </a:ext>
          </a:extLst>
        </xdr:cNvPr>
        <xdr:cNvSpPr txBox="1"/>
      </xdr:nvSpPr>
      <xdr:spPr>
        <a:xfrm>
          <a:off x="12811125" y="1019175"/>
          <a:ext cx="7905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161924</xdr:colOff>
      <xdr:row>3</xdr:row>
      <xdr:rowOff>123825</xdr:rowOff>
    </xdr:to>
    <xdr:sp macro="" textlink="">
      <xdr:nvSpPr>
        <xdr:cNvPr id="2" name="Rectangle 1">
          <a:extLst>
            <a:ext uri="{FF2B5EF4-FFF2-40B4-BE49-F238E27FC236}">
              <a16:creationId xmlns:a16="http://schemas.microsoft.com/office/drawing/2014/main" id="{D5732BF2-BC08-4E67-9DC6-C8F4E13DE9B4}"/>
            </a:ext>
          </a:extLst>
        </xdr:cNvPr>
        <xdr:cNvSpPr/>
      </xdr:nvSpPr>
      <xdr:spPr>
        <a:xfrm>
          <a:off x="0" y="0"/>
          <a:ext cx="13573124"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85725</xdr:colOff>
      <xdr:row>0</xdr:row>
      <xdr:rowOff>0</xdr:rowOff>
    </xdr:from>
    <xdr:to>
      <xdr:col>14</xdr:col>
      <xdr:colOff>514349</xdr:colOff>
      <xdr:row>3</xdr:row>
      <xdr:rowOff>38100</xdr:rowOff>
    </xdr:to>
    <xdr:sp macro="" textlink="">
      <xdr:nvSpPr>
        <xdr:cNvPr id="3" name="TextBox 2">
          <a:extLst>
            <a:ext uri="{FF2B5EF4-FFF2-40B4-BE49-F238E27FC236}">
              <a16:creationId xmlns:a16="http://schemas.microsoft.com/office/drawing/2014/main" id="{090F82CD-71BB-4A40-A099-065FB97D783D}"/>
            </a:ext>
          </a:extLst>
        </xdr:cNvPr>
        <xdr:cNvSpPr txBox="1"/>
      </xdr:nvSpPr>
      <xdr:spPr>
        <a:xfrm>
          <a:off x="3133725" y="0"/>
          <a:ext cx="5915024"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a:p>
          <a:pPr marL="0" marR="0" lvl="0" indent="0" algn="ctr" defTabSz="914400" eaLnBrk="1" fontAlgn="auto" latinLnBrk="0" hangingPunct="1">
            <a:lnSpc>
              <a:spcPct val="100000"/>
            </a:lnSpc>
            <a:spcBef>
              <a:spcPts val="0"/>
            </a:spcBef>
            <a:spcAft>
              <a:spcPts val="0"/>
            </a:spcAft>
            <a:buClrTx/>
            <a:buSzTx/>
            <a:buFontTx/>
            <a:buNone/>
            <a:tabLst/>
            <a:defRPr/>
          </a:pPr>
          <a:r>
            <a:rPr lang="en-IN" sz="1700" b="1">
              <a:solidFill>
                <a:srgbClr val="0070C0"/>
              </a:solidFill>
              <a:latin typeface="Cambria Math" panose="02040503050406030204" pitchFamily="18" charset="0"/>
              <a:ea typeface="Cambria Math" panose="02040503050406030204" pitchFamily="18" charset="0"/>
              <a:cs typeface="+mn-cs"/>
            </a:rPr>
            <a:t>Revenue Analysis</a:t>
          </a:r>
        </a:p>
        <a:p>
          <a:pPr algn="ctr"/>
          <a:endParaRPr lang="en-IN" sz="1700" b="1">
            <a:solidFill>
              <a:srgbClr val="002060"/>
            </a:solidFill>
            <a:latin typeface="Cambria Math" panose="02040503050406030204" pitchFamily="18" charset="0"/>
            <a:ea typeface="Cambria Math" panose="02040503050406030204" pitchFamily="18" charset="0"/>
          </a:endParaRPr>
        </a:p>
      </xdr:txBody>
    </xdr:sp>
    <xdr:clientData/>
  </xdr:twoCellAnchor>
  <xdr:twoCellAnchor editAs="oneCell">
    <xdr:from>
      <xdr:col>0</xdr:col>
      <xdr:colOff>0</xdr:colOff>
      <xdr:row>22</xdr:row>
      <xdr:rowOff>66676</xdr:rowOff>
    </xdr:from>
    <xdr:to>
      <xdr:col>2</xdr:col>
      <xdr:colOff>292800</xdr:colOff>
      <xdr:row>30</xdr:row>
      <xdr:rowOff>142876</xdr:rowOff>
    </xdr:to>
    <mc:AlternateContent xmlns:mc="http://schemas.openxmlformats.org/markup-compatibility/2006" xmlns:a14="http://schemas.microsoft.com/office/drawing/2010/main">
      <mc:Choice Requires="a14">
        <xdr:graphicFrame macro="">
          <xdr:nvGraphicFramePr>
            <xdr:cNvPr id="6" name="BusinessUnit 2">
              <a:extLst>
                <a:ext uri="{FF2B5EF4-FFF2-40B4-BE49-F238E27FC236}">
                  <a16:creationId xmlns:a16="http://schemas.microsoft.com/office/drawing/2014/main" id="{E246A61E-DCAD-4AE3-9466-E5D6C19782C6}"/>
                </a:ext>
              </a:extLst>
            </xdr:cNvPr>
            <xdr:cNvGraphicFramePr/>
          </xdr:nvGraphicFramePr>
          <xdr:xfrm>
            <a:off x="0" y="0"/>
            <a:ext cx="0" cy="0"/>
          </xdr:xfrm>
          <a:graphic>
            <a:graphicData uri="http://schemas.microsoft.com/office/drawing/2010/slicer">
              <sle:slicer xmlns:sle="http://schemas.microsoft.com/office/drawing/2010/slicer" name="BusinessUnit 2"/>
            </a:graphicData>
          </a:graphic>
        </xdr:graphicFrame>
      </mc:Choice>
      <mc:Fallback xmlns="">
        <xdr:sp macro="" textlink="">
          <xdr:nvSpPr>
            <xdr:cNvPr id="0" name=""/>
            <xdr:cNvSpPr>
              <a:spLocks noTextEdit="1"/>
            </xdr:cNvSpPr>
          </xdr:nvSpPr>
          <xdr:spPr>
            <a:xfrm>
              <a:off x="0" y="4257676"/>
              <a:ext cx="15120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180975</xdr:rowOff>
    </xdr:from>
    <xdr:to>
      <xdr:col>2</xdr:col>
      <xdr:colOff>292800</xdr:colOff>
      <xdr:row>22</xdr:row>
      <xdr:rowOff>28575</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C8F5D4E4-4A2B-4BF6-B10B-9123CCBC0902}"/>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0" y="1704975"/>
              <a:ext cx="1512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142875</xdr:rowOff>
    </xdr:from>
    <xdr:to>
      <xdr:col>2</xdr:col>
      <xdr:colOff>292800</xdr:colOff>
      <xdr:row>8</xdr:row>
      <xdr:rowOff>142875</xdr:rowOff>
    </xdr:to>
    <mc:AlternateContent xmlns:mc="http://schemas.openxmlformats.org/markup-compatibility/2006" xmlns:a14="http://schemas.microsoft.com/office/drawing/2010/main">
      <mc:Choice Requires="a14">
        <xdr:graphicFrame macro="">
          <xdr:nvGraphicFramePr>
            <xdr:cNvPr id="8" name="CustomerType 2">
              <a:extLst>
                <a:ext uri="{FF2B5EF4-FFF2-40B4-BE49-F238E27FC236}">
                  <a16:creationId xmlns:a16="http://schemas.microsoft.com/office/drawing/2014/main" id="{7723FEC5-2B20-45AA-A996-C527487DF3CA}"/>
                </a:ext>
              </a:extLst>
            </xdr:cNvPr>
            <xdr:cNvGraphicFramePr/>
          </xdr:nvGraphicFramePr>
          <xdr:xfrm>
            <a:off x="0" y="0"/>
            <a:ext cx="0" cy="0"/>
          </xdr:xfrm>
          <a:graphic>
            <a:graphicData uri="http://schemas.microsoft.com/office/drawing/2010/slicer">
              <sle:slicer xmlns:sle="http://schemas.microsoft.com/office/drawing/2010/slicer" name="CustomerType 2"/>
            </a:graphicData>
          </a:graphic>
        </xdr:graphicFrame>
      </mc:Choice>
      <mc:Fallback xmlns="">
        <xdr:sp macro="" textlink="">
          <xdr:nvSpPr>
            <xdr:cNvPr id="0" name=""/>
            <xdr:cNvSpPr>
              <a:spLocks noTextEdit="1"/>
            </xdr:cNvSpPr>
          </xdr:nvSpPr>
          <xdr:spPr>
            <a:xfrm>
              <a:off x="0" y="714375"/>
              <a:ext cx="1512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333375</xdr:colOff>
      <xdr:row>7</xdr:row>
      <xdr:rowOff>0</xdr:rowOff>
    </xdr:from>
    <xdr:to>
      <xdr:col>22</xdr:col>
      <xdr:colOff>88575</xdr:colOff>
      <xdr:row>24</xdr:row>
      <xdr:rowOff>57150</xdr:rowOff>
    </xdr:to>
    <mc:AlternateContent xmlns:mc="http://schemas.openxmlformats.org/markup-compatibility/2006" xmlns:a14="http://schemas.microsoft.com/office/drawing/2010/main">
      <mc:Choice Requires="a14">
        <xdr:graphicFrame macro="">
          <xdr:nvGraphicFramePr>
            <xdr:cNvPr id="9" name="Month 2">
              <a:extLst>
                <a:ext uri="{FF2B5EF4-FFF2-40B4-BE49-F238E27FC236}">
                  <a16:creationId xmlns:a16="http://schemas.microsoft.com/office/drawing/2014/main" id="{011C1628-9ACA-4CD4-98D8-1499B85A3187}"/>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915775" y="1333500"/>
              <a:ext cx="1584000" cy="329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333375</xdr:colOff>
      <xdr:row>24</xdr:row>
      <xdr:rowOff>57150</xdr:rowOff>
    </xdr:from>
    <xdr:to>
      <xdr:col>22</xdr:col>
      <xdr:colOff>88575</xdr:colOff>
      <xdr:row>30</xdr:row>
      <xdr:rowOff>114301</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44D5A954-7C87-4C70-B4F2-ABD368BFC6F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915775" y="4629150"/>
              <a:ext cx="15840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333375</xdr:colOff>
      <xdr:row>3</xdr:row>
      <xdr:rowOff>133350</xdr:rowOff>
    </xdr:from>
    <xdr:to>
      <xdr:col>22</xdr:col>
      <xdr:colOff>88575</xdr:colOff>
      <xdr:row>7</xdr:row>
      <xdr:rowOff>0</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FDB34841-5C15-4F8D-AD50-4C95CD3D66B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915775" y="704850"/>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295274</xdr:colOff>
      <xdr:row>3</xdr:row>
      <xdr:rowOff>133350</xdr:rowOff>
    </xdr:from>
    <xdr:to>
      <xdr:col>9</xdr:col>
      <xdr:colOff>95249</xdr:colOff>
      <xdr:row>30</xdr:row>
      <xdr:rowOff>142875</xdr:rowOff>
    </xdr:to>
    <xdr:graphicFrame macro="">
      <xdr:nvGraphicFramePr>
        <xdr:cNvPr id="13" name="Chart 12">
          <a:extLst>
            <a:ext uri="{FF2B5EF4-FFF2-40B4-BE49-F238E27FC236}">
              <a16:creationId xmlns:a16="http://schemas.microsoft.com/office/drawing/2014/main" id="{9A0843AB-9CD5-4BD0-AAF9-EE75F6CBC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95250</xdr:colOff>
      <xdr:row>3</xdr:row>
      <xdr:rowOff>133352</xdr:rowOff>
    </xdr:from>
    <xdr:to>
      <xdr:col>15</xdr:col>
      <xdr:colOff>419100</xdr:colOff>
      <xdr:row>20</xdr:row>
      <xdr:rowOff>47625</xdr:rowOff>
    </xdr:to>
    <xdr:graphicFrame macro="">
      <xdr:nvGraphicFramePr>
        <xdr:cNvPr id="14" name="Chart 13">
          <a:extLst>
            <a:ext uri="{FF2B5EF4-FFF2-40B4-BE49-F238E27FC236}">
              <a16:creationId xmlns:a16="http://schemas.microsoft.com/office/drawing/2014/main" id="{0B56280F-6415-44C5-B599-4412E694A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20</xdr:row>
      <xdr:rowOff>57150</xdr:rowOff>
    </xdr:from>
    <xdr:to>
      <xdr:col>19</xdr:col>
      <xdr:colOff>295276</xdr:colOff>
      <xdr:row>30</xdr:row>
      <xdr:rowOff>123825</xdr:rowOff>
    </xdr:to>
    <xdr:graphicFrame macro="">
      <xdr:nvGraphicFramePr>
        <xdr:cNvPr id="4" name="Chart 3">
          <a:extLst>
            <a:ext uri="{FF2B5EF4-FFF2-40B4-BE49-F238E27FC236}">
              <a16:creationId xmlns:a16="http://schemas.microsoft.com/office/drawing/2014/main" id="{0DD68A87-1BFA-4066-A722-87075630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419100</xdr:colOff>
      <xdr:row>3</xdr:row>
      <xdr:rowOff>133349</xdr:rowOff>
    </xdr:from>
    <xdr:to>
      <xdr:col>19</xdr:col>
      <xdr:colOff>314325</xdr:colOff>
      <xdr:row>20</xdr:row>
      <xdr:rowOff>47624</xdr:rowOff>
    </xdr:to>
    <xdr:graphicFrame macro="">
      <xdr:nvGraphicFramePr>
        <xdr:cNvPr id="5" name="Chart 4">
          <a:extLst>
            <a:ext uri="{FF2B5EF4-FFF2-40B4-BE49-F238E27FC236}">
              <a16:creationId xmlns:a16="http://schemas.microsoft.com/office/drawing/2014/main" id="{2C9C5053-3838-4503-A19E-5240282AB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100505</xdr:colOff>
      <xdr:row>0</xdr:row>
      <xdr:rowOff>85725</xdr:rowOff>
    </xdr:from>
    <xdr:to>
      <xdr:col>21</xdr:col>
      <xdr:colOff>514350</xdr:colOff>
      <xdr:row>2</xdr:row>
      <xdr:rowOff>38100</xdr:rowOff>
    </xdr:to>
    <xdr:pic>
      <xdr:nvPicPr>
        <xdr:cNvPr id="15" name="Graphic 14" descr="Back with solid fill">
          <a:extLst>
            <a:ext uri="{FF2B5EF4-FFF2-40B4-BE49-F238E27FC236}">
              <a16:creationId xmlns:a16="http://schemas.microsoft.com/office/drawing/2014/main" id="{DF7A0D68-236B-BD01-8734-8C44BB5595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02105" y="85725"/>
          <a:ext cx="413845" cy="333375"/>
        </a:xfrm>
        <a:prstGeom prst="rect">
          <a:avLst/>
        </a:prstGeom>
      </xdr:spPr>
    </xdr:pic>
    <xdr:clientData/>
  </xdr:twoCellAnchor>
  <xdr:twoCellAnchor>
    <xdr:from>
      <xdr:col>21</xdr:col>
      <xdr:colOff>95250</xdr:colOff>
      <xdr:row>1</xdr:row>
      <xdr:rowOff>142875</xdr:rowOff>
    </xdr:from>
    <xdr:to>
      <xdr:col>22</xdr:col>
      <xdr:colOff>95250</xdr:colOff>
      <xdr:row>2</xdr:row>
      <xdr:rowOff>180975</xdr:rowOff>
    </xdr:to>
    <xdr:sp macro="" textlink="">
      <xdr:nvSpPr>
        <xdr:cNvPr id="16" name="TextBox 15">
          <a:hlinkClick xmlns:r="http://schemas.openxmlformats.org/officeDocument/2006/relationships" r:id="rId7"/>
          <a:extLst>
            <a:ext uri="{FF2B5EF4-FFF2-40B4-BE49-F238E27FC236}">
              <a16:creationId xmlns:a16="http://schemas.microsoft.com/office/drawing/2014/main" id="{C336D9B4-7AC4-C2AF-CEEC-5477B1A39DF3}"/>
            </a:ext>
          </a:extLst>
        </xdr:cNvPr>
        <xdr:cNvSpPr txBox="1"/>
      </xdr:nvSpPr>
      <xdr:spPr>
        <a:xfrm>
          <a:off x="12896850" y="333375"/>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60000"/>
                  <a:lumOff val="40000"/>
                </a:schemeClr>
              </a:solidFill>
            </a:rPr>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161924</xdr:colOff>
      <xdr:row>3</xdr:row>
      <xdr:rowOff>123825</xdr:rowOff>
    </xdr:to>
    <xdr:sp macro="" textlink="">
      <xdr:nvSpPr>
        <xdr:cNvPr id="2" name="Rectangle 1">
          <a:extLst>
            <a:ext uri="{FF2B5EF4-FFF2-40B4-BE49-F238E27FC236}">
              <a16:creationId xmlns:a16="http://schemas.microsoft.com/office/drawing/2014/main" id="{FE572685-B9C0-4054-8AD9-6875E1A26371}"/>
            </a:ext>
          </a:extLst>
        </xdr:cNvPr>
        <xdr:cNvSpPr/>
      </xdr:nvSpPr>
      <xdr:spPr>
        <a:xfrm>
          <a:off x="0" y="0"/>
          <a:ext cx="13573124"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0</xdr:row>
      <xdr:rowOff>0</xdr:rowOff>
    </xdr:from>
    <xdr:to>
      <xdr:col>14</xdr:col>
      <xdr:colOff>428624</xdr:colOff>
      <xdr:row>3</xdr:row>
      <xdr:rowOff>38100</xdr:rowOff>
    </xdr:to>
    <xdr:sp macro="" textlink="">
      <xdr:nvSpPr>
        <xdr:cNvPr id="3" name="TextBox 2">
          <a:extLst>
            <a:ext uri="{FF2B5EF4-FFF2-40B4-BE49-F238E27FC236}">
              <a16:creationId xmlns:a16="http://schemas.microsoft.com/office/drawing/2014/main" id="{74F41F65-D19D-4C98-BB11-A5D7E751F2CD}"/>
            </a:ext>
          </a:extLst>
        </xdr:cNvPr>
        <xdr:cNvSpPr txBox="1"/>
      </xdr:nvSpPr>
      <xdr:spPr>
        <a:xfrm>
          <a:off x="3048000" y="0"/>
          <a:ext cx="5915024"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a:p>
          <a:pPr marL="0" marR="0" lvl="0" indent="0" algn="ctr" defTabSz="914400" eaLnBrk="1" fontAlgn="auto" latinLnBrk="0" hangingPunct="1">
            <a:lnSpc>
              <a:spcPct val="100000"/>
            </a:lnSpc>
            <a:spcBef>
              <a:spcPts val="0"/>
            </a:spcBef>
            <a:spcAft>
              <a:spcPts val="0"/>
            </a:spcAft>
            <a:buClrTx/>
            <a:buSzTx/>
            <a:buFontTx/>
            <a:buNone/>
            <a:tabLst/>
            <a:defRPr/>
          </a:pPr>
          <a:r>
            <a:rPr lang="en-IN" sz="1700" b="1">
              <a:solidFill>
                <a:srgbClr val="0070C0"/>
              </a:solidFill>
              <a:latin typeface="Cambria Math" panose="02040503050406030204" pitchFamily="18" charset="0"/>
              <a:ea typeface="Cambria Math" panose="02040503050406030204" pitchFamily="18" charset="0"/>
              <a:cs typeface="+mn-cs"/>
            </a:rPr>
            <a:t>Expensive Analysis</a:t>
          </a:r>
        </a:p>
        <a:p>
          <a:pPr algn="ctr"/>
          <a:endParaRPr lang="en-IN" sz="1700" b="1">
            <a:solidFill>
              <a:srgbClr val="002060"/>
            </a:solidFill>
            <a:latin typeface="Cambria Math" panose="02040503050406030204" pitchFamily="18" charset="0"/>
            <a:ea typeface="Cambria Math" panose="02040503050406030204" pitchFamily="18" charset="0"/>
          </a:endParaRPr>
        </a:p>
      </xdr:txBody>
    </xdr:sp>
    <xdr:clientData/>
  </xdr:twoCellAnchor>
  <xdr:twoCellAnchor editAs="oneCell">
    <xdr:from>
      <xdr:col>0</xdr:col>
      <xdr:colOff>0</xdr:colOff>
      <xdr:row>22</xdr:row>
      <xdr:rowOff>57151</xdr:rowOff>
    </xdr:from>
    <xdr:to>
      <xdr:col>2</xdr:col>
      <xdr:colOff>292800</xdr:colOff>
      <xdr:row>30</xdr:row>
      <xdr:rowOff>133351</xdr:rowOff>
    </xdr:to>
    <mc:AlternateContent xmlns:mc="http://schemas.openxmlformats.org/markup-compatibility/2006" xmlns:a14="http://schemas.microsoft.com/office/drawing/2010/main">
      <mc:Choice Requires="a14">
        <xdr:graphicFrame macro="">
          <xdr:nvGraphicFramePr>
            <xdr:cNvPr id="4" name="BusinessUnit 3">
              <a:extLst>
                <a:ext uri="{FF2B5EF4-FFF2-40B4-BE49-F238E27FC236}">
                  <a16:creationId xmlns:a16="http://schemas.microsoft.com/office/drawing/2014/main" id="{F12FE330-D9FC-41D1-943E-47E94B88B3DA}"/>
                </a:ext>
              </a:extLst>
            </xdr:cNvPr>
            <xdr:cNvGraphicFramePr/>
          </xdr:nvGraphicFramePr>
          <xdr:xfrm>
            <a:off x="0" y="0"/>
            <a:ext cx="0" cy="0"/>
          </xdr:xfrm>
          <a:graphic>
            <a:graphicData uri="http://schemas.microsoft.com/office/drawing/2010/slicer">
              <sle:slicer xmlns:sle="http://schemas.microsoft.com/office/drawing/2010/slicer" name="BusinessUnit 3"/>
            </a:graphicData>
          </a:graphic>
        </xdr:graphicFrame>
      </mc:Choice>
      <mc:Fallback xmlns="">
        <xdr:sp macro="" textlink="">
          <xdr:nvSpPr>
            <xdr:cNvPr id="0" name=""/>
            <xdr:cNvSpPr>
              <a:spLocks noTextEdit="1"/>
            </xdr:cNvSpPr>
          </xdr:nvSpPr>
          <xdr:spPr>
            <a:xfrm>
              <a:off x="0" y="4248151"/>
              <a:ext cx="15120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171450</xdr:rowOff>
    </xdr:from>
    <xdr:to>
      <xdr:col>2</xdr:col>
      <xdr:colOff>292800</xdr:colOff>
      <xdr:row>22</xdr:row>
      <xdr:rowOff>19050</xdr:rowOff>
    </xdr:to>
    <mc:AlternateContent xmlns:mc="http://schemas.openxmlformats.org/markup-compatibility/2006" xmlns:a14="http://schemas.microsoft.com/office/drawing/2010/main">
      <mc:Choice Requires="a14">
        <xdr:graphicFrame macro="">
          <xdr:nvGraphicFramePr>
            <xdr:cNvPr id="5" name="Department 3">
              <a:extLst>
                <a:ext uri="{FF2B5EF4-FFF2-40B4-BE49-F238E27FC236}">
                  <a16:creationId xmlns:a16="http://schemas.microsoft.com/office/drawing/2014/main" id="{B76FB342-E683-4BC1-9496-1A13E0C49C49}"/>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0" y="1695450"/>
              <a:ext cx="1512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133350</xdr:rowOff>
    </xdr:from>
    <xdr:to>
      <xdr:col>2</xdr:col>
      <xdr:colOff>292800</xdr:colOff>
      <xdr:row>8</xdr:row>
      <xdr:rowOff>133350</xdr:rowOff>
    </xdr:to>
    <mc:AlternateContent xmlns:mc="http://schemas.openxmlformats.org/markup-compatibility/2006" xmlns:a14="http://schemas.microsoft.com/office/drawing/2010/main">
      <mc:Choice Requires="a14">
        <xdr:graphicFrame macro="">
          <xdr:nvGraphicFramePr>
            <xdr:cNvPr id="6" name="CustomerType 3">
              <a:extLst>
                <a:ext uri="{FF2B5EF4-FFF2-40B4-BE49-F238E27FC236}">
                  <a16:creationId xmlns:a16="http://schemas.microsoft.com/office/drawing/2014/main" id="{866D76F2-F0E7-4EE4-BB0E-2559DA4E6F44}"/>
                </a:ext>
              </a:extLst>
            </xdr:cNvPr>
            <xdr:cNvGraphicFramePr/>
          </xdr:nvGraphicFramePr>
          <xdr:xfrm>
            <a:off x="0" y="0"/>
            <a:ext cx="0" cy="0"/>
          </xdr:xfrm>
          <a:graphic>
            <a:graphicData uri="http://schemas.microsoft.com/office/drawing/2010/slicer">
              <sle:slicer xmlns:sle="http://schemas.microsoft.com/office/drawing/2010/slicer" name="CustomerType 3"/>
            </a:graphicData>
          </a:graphic>
        </xdr:graphicFrame>
      </mc:Choice>
      <mc:Fallback xmlns="">
        <xdr:sp macro="" textlink="">
          <xdr:nvSpPr>
            <xdr:cNvPr id="0" name=""/>
            <xdr:cNvSpPr>
              <a:spLocks noTextEdit="1"/>
            </xdr:cNvSpPr>
          </xdr:nvSpPr>
          <xdr:spPr>
            <a:xfrm>
              <a:off x="0" y="704850"/>
              <a:ext cx="1512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3</xdr:row>
      <xdr:rowOff>133349</xdr:rowOff>
    </xdr:from>
    <xdr:to>
      <xdr:col>7</xdr:col>
      <xdr:colOff>476251</xdr:colOff>
      <xdr:row>30</xdr:row>
      <xdr:rowOff>133351</xdr:rowOff>
    </xdr:to>
    <xdr:graphicFrame macro="">
      <xdr:nvGraphicFramePr>
        <xdr:cNvPr id="11" name="Chart 10">
          <a:extLst>
            <a:ext uri="{FF2B5EF4-FFF2-40B4-BE49-F238E27FC236}">
              <a16:creationId xmlns:a16="http://schemas.microsoft.com/office/drawing/2014/main" id="{29C01116-1EAD-410F-AC28-0B1E11C78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485775</xdr:colOff>
      <xdr:row>16</xdr:row>
      <xdr:rowOff>0</xdr:rowOff>
    </xdr:from>
    <xdr:to>
      <xdr:col>14</xdr:col>
      <xdr:colOff>38100</xdr:colOff>
      <xdr:row>30</xdr:row>
      <xdr:rowOff>114300</xdr:rowOff>
    </xdr:to>
    <xdr:graphicFrame macro="">
      <xdr:nvGraphicFramePr>
        <xdr:cNvPr id="12" name="Chart 11">
          <a:extLst>
            <a:ext uri="{FF2B5EF4-FFF2-40B4-BE49-F238E27FC236}">
              <a16:creationId xmlns:a16="http://schemas.microsoft.com/office/drawing/2014/main" id="{A18F8D5C-B3B4-4C1A-8834-841DDF0DF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47625</xdr:colOff>
      <xdr:row>15</xdr:row>
      <xdr:rowOff>180975</xdr:rowOff>
    </xdr:from>
    <xdr:to>
      <xdr:col>19</xdr:col>
      <xdr:colOff>323850</xdr:colOff>
      <xdr:row>30</xdr:row>
      <xdr:rowOff>104775</xdr:rowOff>
    </xdr:to>
    <xdr:graphicFrame macro="">
      <xdr:nvGraphicFramePr>
        <xdr:cNvPr id="13" name="Chart 12">
          <a:extLst>
            <a:ext uri="{FF2B5EF4-FFF2-40B4-BE49-F238E27FC236}">
              <a16:creationId xmlns:a16="http://schemas.microsoft.com/office/drawing/2014/main" id="{101957EF-E4A6-40AE-8DA5-49C826E3E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476250</xdr:colOff>
      <xdr:row>3</xdr:row>
      <xdr:rowOff>133350</xdr:rowOff>
    </xdr:from>
    <xdr:to>
      <xdr:col>19</xdr:col>
      <xdr:colOff>314325</xdr:colOff>
      <xdr:row>15</xdr:row>
      <xdr:rowOff>171450</xdr:rowOff>
    </xdr:to>
    <xdr:graphicFrame macro="">
      <xdr:nvGraphicFramePr>
        <xdr:cNvPr id="14" name="Chart 13">
          <a:extLst>
            <a:ext uri="{FF2B5EF4-FFF2-40B4-BE49-F238E27FC236}">
              <a16:creationId xmlns:a16="http://schemas.microsoft.com/office/drawing/2014/main" id="{350BF94D-26D1-4673-BE49-4818E32AC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333375</xdr:colOff>
      <xdr:row>7</xdr:row>
      <xdr:rowOff>28575</xdr:rowOff>
    </xdr:from>
    <xdr:to>
      <xdr:col>22</xdr:col>
      <xdr:colOff>88575</xdr:colOff>
      <xdr:row>24</xdr:row>
      <xdr:rowOff>85725</xdr:rowOff>
    </xdr:to>
    <mc:AlternateContent xmlns:mc="http://schemas.openxmlformats.org/markup-compatibility/2006" xmlns:a14="http://schemas.microsoft.com/office/drawing/2010/main">
      <mc:Choice Requires="a14">
        <xdr:graphicFrame macro="">
          <xdr:nvGraphicFramePr>
            <xdr:cNvPr id="15" name="Month 3">
              <a:extLst>
                <a:ext uri="{FF2B5EF4-FFF2-40B4-BE49-F238E27FC236}">
                  <a16:creationId xmlns:a16="http://schemas.microsoft.com/office/drawing/2014/main" id="{E2675270-B413-465D-BE05-73E14DF154F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1915775" y="1362075"/>
              <a:ext cx="1584000" cy="329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333375</xdr:colOff>
      <xdr:row>24</xdr:row>
      <xdr:rowOff>85725</xdr:rowOff>
    </xdr:from>
    <xdr:to>
      <xdr:col>22</xdr:col>
      <xdr:colOff>88575</xdr:colOff>
      <xdr:row>30</xdr:row>
      <xdr:rowOff>142876</xdr:rowOff>
    </xdr:to>
    <mc:AlternateContent xmlns:mc="http://schemas.openxmlformats.org/markup-compatibility/2006" xmlns:a14="http://schemas.microsoft.com/office/drawing/2010/main">
      <mc:Choice Requires="a14">
        <xdr:graphicFrame macro="">
          <xdr:nvGraphicFramePr>
            <xdr:cNvPr id="16" name="Region 3">
              <a:extLst>
                <a:ext uri="{FF2B5EF4-FFF2-40B4-BE49-F238E27FC236}">
                  <a16:creationId xmlns:a16="http://schemas.microsoft.com/office/drawing/2014/main" id="{1DD04846-21F9-4C4B-A37E-87BC72A0B31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915775" y="4657725"/>
              <a:ext cx="15840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333375</xdr:colOff>
      <xdr:row>3</xdr:row>
      <xdr:rowOff>161925</xdr:rowOff>
    </xdr:from>
    <xdr:to>
      <xdr:col>22</xdr:col>
      <xdr:colOff>88575</xdr:colOff>
      <xdr:row>7</xdr:row>
      <xdr:rowOff>28575</xdr:rowOff>
    </xdr:to>
    <mc:AlternateContent xmlns:mc="http://schemas.openxmlformats.org/markup-compatibility/2006" xmlns:a14="http://schemas.microsoft.com/office/drawing/2010/main">
      <mc:Choice Requires="a14">
        <xdr:graphicFrame macro="">
          <xdr:nvGraphicFramePr>
            <xdr:cNvPr id="17" name="Year 3">
              <a:extLst>
                <a:ext uri="{FF2B5EF4-FFF2-40B4-BE49-F238E27FC236}">
                  <a16:creationId xmlns:a16="http://schemas.microsoft.com/office/drawing/2014/main" id="{8AF8A508-0E10-4006-B6EF-68B05918CDF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915775" y="733425"/>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24305</xdr:colOff>
      <xdr:row>0</xdr:row>
      <xdr:rowOff>85725</xdr:rowOff>
    </xdr:from>
    <xdr:to>
      <xdr:col>21</xdr:col>
      <xdr:colOff>438150</xdr:colOff>
      <xdr:row>2</xdr:row>
      <xdr:rowOff>38100</xdr:rowOff>
    </xdr:to>
    <xdr:pic>
      <xdr:nvPicPr>
        <xdr:cNvPr id="18" name="Graphic 17" descr="Back with solid fill">
          <a:extLst>
            <a:ext uri="{FF2B5EF4-FFF2-40B4-BE49-F238E27FC236}">
              <a16:creationId xmlns:a16="http://schemas.microsoft.com/office/drawing/2014/main" id="{C47D8E78-9EFC-4988-AD86-DBA5A988CF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825905" y="85725"/>
          <a:ext cx="413845" cy="333375"/>
        </a:xfrm>
        <a:prstGeom prst="rect">
          <a:avLst/>
        </a:prstGeom>
      </xdr:spPr>
    </xdr:pic>
    <xdr:clientData/>
  </xdr:twoCellAnchor>
  <xdr:twoCellAnchor>
    <xdr:from>
      <xdr:col>21</xdr:col>
      <xdr:colOff>19050</xdr:colOff>
      <xdr:row>1</xdr:row>
      <xdr:rowOff>142875</xdr:rowOff>
    </xdr:from>
    <xdr:to>
      <xdr:col>22</xdr:col>
      <xdr:colOff>19050</xdr:colOff>
      <xdr:row>2</xdr:row>
      <xdr:rowOff>180975</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64001488-9340-4248-AFB9-3F115AC143CC}"/>
            </a:ext>
          </a:extLst>
        </xdr:cNvPr>
        <xdr:cNvSpPr txBox="1"/>
      </xdr:nvSpPr>
      <xdr:spPr>
        <a:xfrm>
          <a:off x="12820650" y="333375"/>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60000"/>
                  <a:lumOff val="40000"/>
                </a:schemeClr>
              </a:solidFill>
            </a:rPr>
            <a:t>Back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161924</xdr:colOff>
      <xdr:row>3</xdr:row>
      <xdr:rowOff>123825</xdr:rowOff>
    </xdr:to>
    <xdr:sp macro="" textlink="">
      <xdr:nvSpPr>
        <xdr:cNvPr id="2" name="Rectangle 1">
          <a:extLst>
            <a:ext uri="{FF2B5EF4-FFF2-40B4-BE49-F238E27FC236}">
              <a16:creationId xmlns:a16="http://schemas.microsoft.com/office/drawing/2014/main" id="{46D77E2B-F65C-4430-A19E-D097AE9FE043}"/>
            </a:ext>
          </a:extLst>
        </xdr:cNvPr>
        <xdr:cNvSpPr/>
      </xdr:nvSpPr>
      <xdr:spPr>
        <a:xfrm>
          <a:off x="0" y="0"/>
          <a:ext cx="13573124"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0</xdr:row>
      <xdr:rowOff>0</xdr:rowOff>
    </xdr:from>
    <xdr:to>
      <xdr:col>14</xdr:col>
      <xdr:colOff>428624</xdr:colOff>
      <xdr:row>3</xdr:row>
      <xdr:rowOff>38100</xdr:rowOff>
    </xdr:to>
    <xdr:sp macro="" textlink="">
      <xdr:nvSpPr>
        <xdr:cNvPr id="3" name="TextBox 2">
          <a:extLst>
            <a:ext uri="{FF2B5EF4-FFF2-40B4-BE49-F238E27FC236}">
              <a16:creationId xmlns:a16="http://schemas.microsoft.com/office/drawing/2014/main" id="{D58C1678-A64F-4A35-990E-3DF94E184FFF}"/>
            </a:ext>
          </a:extLst>
        </xdr:cNvPr>
        <xdr:cNvSpPr txBox="1"/>
      </xdr:nvSpPr>
      <xdr:spPr>
        <a:xfrm>
          <a:off x="3048000" y="0"/>
          <a:ext cx="5915024"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a:p>
          <a:pPr marL="0" marR="0" lvl="0" indent="0" algn="ctr" defTabSz="914400" eaLnBrk="1" fontAlgn="auto" latinLnBrk="0" hangingPunct="1">
            <a:lnSpc>
              <a:spcPct val="100000"/>
            </a:lnSpc>
            <a:spcBef>
              <a:spcPts val="0"/>
            </a:spcBef>
            <a:spcAft>
              <a:spcPts val="0"/>
            </a:spcAft>
            <a:buClrTx/>
            <a:buSzTx/>
            <a:buFontTx/>
            <a:buNone/>
            <a:tabLst/>
            <a:defRPr/>
          </a:pPr>
          <a:r>
            <a:rPr lang="en-IN" sz="1700" b="1">
              <a:solidFill>
                <a:srgbClr val="0070C0"/>
              </a:solidFill>
              <a:latin typeface="Cambria Math" panose="02040503050406030204" pitchFamily="18" charset="0"/>
              <a:ea typeface="Cambria Math" panose="02040503050406030204" pitchFamily="18" charset="0"/>
              <a:cs typeface="+mn-cs"/>
            </a:rPr>
            <a:t>Profitability Analysis</a:t>
          </a:r>
        </a:p>
        <a:p>
          <a:pPr algn="ctr"/>
          <a:endParaRPr lang="en-IN" sz="1700" b="1">
            <a:solidFill>
              <a:srgbClr val="002060"/>
            </a:solidFill>
            <a:latin typeface="Cambria Math" panose="02040503050406030204" pitchFamily="18" charset="0"/>
            <a:ea typeface="Cambria Math" panose="02040503050406030204" pitchFamily="18" charset="0"/>
          </a:endParaRPr>
        </a:p>
      </xdr:txBody>
    </xdr:sp>
    <xdr:clientData/>
  </xdr:twoCellAnchor>
  <xdr:twoCellAnchor editAs="oneCell">
    <xdr:from>
      <xdr:col>0</xdr:col>
      <xdr:colOff>0</xdr:colOff>
      <xdr:row>22</xdr:row>
      <xdr:rowOff>66676</xdr:rowOff>
    </xdr:from>
    <xdr:to>
      <xdr:col>2</xdr:col>
      <xdr:colOff>292800</xdr:colOff>
      <xdr:row>30</xdr:row>
      <xdr:rowOff>142876</xdr:rowOff>
    </xdr:to>
    <mc:AlternateContent xmlns:mc="http://schemas.openxmlformats.org/markup-compatibility/2006" xmlns:a14="http://schemas.microsoft.com/office/drawing/2010/main">
      <mc:Choice Requires="a14">
        <xdr:graphicFrame macro="">
          <xdr:nvGraphicFramePr>
            <xdr:cNvPr id="4" name="BusinessUnit 4">
              <a:extLst>
                <a:ext uri="{FF2B5EF4-FFF2-40B4-BE49-F238E27FC236}">
                  <a16:creationId xmlns:a16="http://schemas.microsoft.com/office/drawing/2014/main" id="{695003CD-900A-44A2-B236-EE819043054C}"/>
                </a:ext>
              </a:extLst>
            </xdr:cNvPr>
            <xdr:cNvGraphicFramePr/>
          </xdr:nvGraphicFramePr>
          <xdr:xfrm>
            <a:off x="0" y="0"/>
            <a:ext cx="0" cy="0"/>
          </xdr:xfrm>
          <a:graphic>
            <a:graphicData uri="http://schemas.microsoft.com/office/drawing/2010/slicer">
              <sle:slicer xmlns:sle="http://schemas.microsoft.com/office/drawing/2010/slicer" name="BusinessUnit 4"/>
            </a:graphicData>
          </a:graphic>
        </xdr:graphicFrame>
      </mc:Choice>
      <mc:Fallback xmlns="">
        <xdr:sp macro="" textlink="">
          <xdr:nvSpPr>
            <xdr:cNvPr id="0" name=""/>
            <xdr:cNvSpPr>
              <a:spLocks noTextEdit="1"/>
            </xdr:cNvSpPr>
          </xdr:nvSpPr>
          <xdr:spPr>
            <a:xfrm>
              <a:off x="0" y="4257676"/>
              <a:ext cx="15120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180975</xdr:rowOff>
    </xdr:from>
    <xdr:to>
      <xdr:col>2</xdr:col>
      <xdr:colOff>292800</xdr:colOff>
      <xdr:row>22</xdr:row>
      <xdr:rowOff>28575</xdr:rowOff>
    </xdr:to>
    <mc:AlternateContent xmlns:mc="http://schemas.openxmlformats.org/markup-compatibility/2006" xmlns:a14="http://schemas.microsoft.com/office/drawing/2010/main">
      <mc:Choice Requires="a14">
        <xdr:graphicFrame macro="">
          <xdr:nvGraphicFramePr>
            <xdr:cNvPr id="5" name="Department 4">
              <a:extLst>
                <a:ext uri="{FF2B5EF4-FFF2-40B4-BE49-F238E27FC236}">
                  <a16:creationId xmlns:a16="http://schemas.microsoft.com/office/drawing/2014/main" id="{1890905A-C982-4FBD-B284-C95683B49991}"/>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0" y="1704975"/>
              <a:ext cx="1512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142875</xdr:rowOff>
    </xdr:from>
    <xdr:to>
      <xdr:col>2</xdr:col>
      <xdr:colOff>292800</xdr:colOff>
      <xdr:row>8</xdr:row>
      <xdr:rowOff>142875</xdr:rowOff>
    </xdr:to>
    <mc:AlternateContent xmlns:mc="http://schemas.openxmlformats.org/markup-compatibility/2006" xmlns:a14="http://schemas.microsoft.com/office/drawing/2010/main">
      <mc:Choice Requires="a14">
        <xdr:graphicFrame macro="">
          <xdr:nvGraphicFramePr>
            <xdr:cNvPr id="6" name="CustomerType 4">
              <a:extLst>
                <a:ext uri="{FF2B5EF4-FFF2-40B4-BE49-F238E27FC236}">
                  <a16:creationId xmlns:a16="http://schemas.microsoft.com/office/drawing/2014/main" id="{31BF9F1C-FA50-43DB-9E48-E9D661DA2FE7}"/>
                </a:ext>
              </a:extLst>
            </xdr:cNvPr>
            <xdr:cNvGraphicFramePr/>
          </xdr:nvGraphicFramePr>
          <xdr:xfrm>
            <a:off x="0" y="0"/>
            <a:ext cx="0" cy="0"/>
          </xdr:xfrm>
          <a:graphic>
            <a:graphicData uri="http://schemas.microsoft.com/office/drawing/2010/slicer">
              <sle:slicer xmlns:sle="http://schemas.microsoft.com/office/drawing/2010/slicer" name="CustomerType 4"/>
            </a:graphicData>
          </a:graphic>
        </xdr:graphicFrame>
      </mc:Choice>
      <mc:Fallback xmlns="">
        <xdr:sp macro="" textlink="">
          <xdr:nvSpPr>
            <xdr:cNvPr id="0" name=""/>
            <xdr:cNvSpPr>
              <a:spLocks noTextEdit="1"/>
            </xdr:cNvSpPr>
          </xdr:nvSpPr>
          <xdr:spPr>
            <a:xfrm>
              <a:off x="0" y="714375"/>
              <a:ext cx="1512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161925</xdr:colOff>
      <xdr:row>19</xdr:row>
      <xdr:rowOff>28575</xdr:rowOff>
    </xdr:from>
    <xdr:to>
      <xdr:col>19</xdr:col>
      <xdr:colOff>314325</xdr:colOff>
      <xdr:row>30</xdr:row>
      <xdr:rowOff>142875</xdr:rowOff>
    </xdr:to>
    <xdr:graphicFrame macro="">
      <xdr:nvGraphicFramePr>
        <xdr:cNvPr id="10" name="Chart 9">
          <a:extLst>
            <a:ext uri="{FF2B5EF4-FFF2-40B4-BE49-F238E27FC236}">
              <a16:creationId xmlns:a16="http://schemas.microsoft.com/office/drawing/2014/main" id="{A179BA2D-4699-4A1B-8968-FCE59CC85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314324</xdr:colOff>
      <xdr:row>17</xdr:row>
      <xdr:rowOff>133349</xdr:rowOff>
    </xdr:from>
    <xdr:to>
      <xdr:col>9</xdr:col>
      <xdr:colOff>152399</xdr:colOff>
      <xdr:row>30</xdr:row>
      <xdr:rowOff>142874</xdr:rowOff>
    </xdr:to>
    <xdr:graphicFrame macro="">
      <xdr:nvGraphicFramePr>
        <xdr:cNvPr id="11" name="Chart 10">
          <a:extLst>
            <a:ext uri="{FF2B5EF4-FFF2-40B4-BE49-F238E27FC236}">
              <a16:creationId xmlns:a16="http://schemas.microsoft.com/office/drawing/2014/main" id="{1575BE19-DAA5-49F8-869F-22727DE1B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3</xdr:row>
      <xdr:rowOff>133350</xdr:rowOff>
    </xdr:from>
    <xdr:to>
      <xdr:col>19</xdr:col>
      <xdr:colOff>314325</xdr:colOff>
      <xdr:row>19</xdr:row>
      <xdr:rowOff>19050</xdr:rowOff>
    </xdr:to>
    <xdr:graphicFrame macro="">
      <xdr:nvGraphicFramePr>
        <xdr:cNvPr id="12" name="Chart 11">
          <a:extLst>
            <a:ext uri="{FF2B5EF4-FFF2-40B4-BE49-F238E27FC236}">
              <a16:creationId xmlns:a16="http://schemas.microsoft.com/office/drawing/2014/main" id="{36A890EB-2046-4811-97D6-510450AAD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3</xdr:row>
      <xdr:rowOff>142875</xdr:rowOff>
    </xdr:from>
    <xdr:to>
      <xdr:col>9</xdr:col>
      <xdr:colOff>142875</xdr:colOff>
      <xdr:row>17</xdr:row>
      <xdr:rowOff>123825</xdr:rowOff>
    </xdr:to>
    <xdr:graphicFrame macro="">
      <xdr:nvGraphicFramePr>
        <xdr:cNvPr id="13" name="Chart 12">
          <a:extLst>
            <a:ext uri="{FF2B5EF4-FFF2-40B4-BE49-F238E27FC236}">
              <a16:creationId xmlns:a16="http://schemas.microsoft.com/office/drawing/2014/main" id="{676C2E7A-3C28-4A5D-AD9B-04F111D4F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323850</xdr:colOff>
      <xdr:row>7</xdr:row>
      <xdr:rowOff>0</xdr:rowOff>
    </xdr:from>
    <xdr:to>
      <xdr:col>22</xdr:col>
      <xdr:colOff>79050</xdr:colOff>
      <xdr:row>24</xdr:row>
      <xdr:rowOff>57150</xdr:rowOff>
    </xdr:to>
    <mc:AlternateContent xmlns:mc="http://schemas.openxmlformats.org/markup-compatibility/2006" xmlns:a14="http://schemas.microsoft.com/office/drawing/2010/main">
      <mc:Choice Requires="a14">
        <xdr:graphicFrame macro="">
          <xdr:nvGraphicFramePr>
            <xdr:cNvPr id="14" name="Month 4">
              <a:extLst>
                <a:ext uri="{FF2B5EF4-FFF2-40B4-BE49-F238E27FC236}">
                  <a16:creationId xmlns:a16="http://schemas.microsoft.com/office/drawing/2014/main" id="{D7B02375-4D24-4490-A994-B5308E3518C2}"/>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1906250" y="1333500"/>
              <a:ext cx="1584000" cy="329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24</xdr:row>
      <xdr:rowOff>76200</xdr:rowOff>
    </xdr:from>
    <xdr:to>
      <xdr:col>22</xdr:col>
      <xdr:colOff>79050</xdr:colOff>
      <xdr:row>30</xdr:row>
      <xdr:rowOff>133351</xdr:rowOff>
    </xdr:to>
    <mc:AlternateContent xmlns:mc="http://schemas.openxmlformats.org/markup-compatibility/2006" xmlns:a14="http://schemas.microsoft.com/office/drawing/2010/main">
      <mc:Choice Requires="a14">
        <xdr:graphicFrame macro="">
          <xdr:nvGraphicFramePr>
            <xdr:cNvPr id="15" name="Region 4">
              <a:extLst>
                <a:ext uri="{FF2B5EF4-FFF2-40B4-BE49-F238E27FC236}">
                  <a16:creationId xmlns:a16="http://schemas.microsoft.com/office/drawing/2014/main" id="{D266BC4E-9837-48B9-B2CD-89CB85084BFC}"/>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1906250" y="4648200"/>
              <a:ext cx="15840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3</xdr:row>
      <xdr:rowOff>133350</xdr:rowOff>
    </xdr:from>
    <xdr:to>
      <xdr:col>22</xdr:col>
      <xdr:colOff>79050</xdr:colOff>
      <xdr:row>7</xdr:row>
      <xdr:rowOff>0</xdr:rowOff>
    </xdr:to>
    <mc:AlternateContent xmlns:mc="http://schemas.openxmlformats.org/markup-compatibility/2006" xmlns:a14="http://schemas.microsoft.com/office/drawing/2010/main">
      <mc:Choice Requires="a14">
        <xdr:graphicFrame macro="">
          <xdr:nvGraphicFramePr>
            <xdr:cNvPr id="16" name="Year 4">
              <a:extLst>
                <a:ext uri="{FF2B5EF4-FFF2-40B4-BE49-F238E27FC236}">
                  <a16:creationId xmlns:a16="http://schemas.microsoft.com/office/drawing/2014/main" id="{228095D7-A3D5-48D8-92C3-99D136EDC11F}"/>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1906250" y="704850"/>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138605</xdr:colOff>
      <xdr:row>0</xdr:row>
      <xdr:rowOff>114300</xdr:rowOff>
    </xdr:from>
    <xdr:to>
      <xdr:col>21</xdr:col>
      <xdr:colOff>552450</xdr:colOff>
      <xdr:row>2</xdr:row>
      <xdr:rowOff>66675</xdr:rowOff>
    </xdr:to>
    <xdr:pic>
      <xdr:nvPicPr>
        <xdr:cNvPr id="17" name="Graphic 16" descr="Back with solid fill">
          <a:extLst>
            <a:ext uri="{FF2B5EF4-FFF2-40B4-BE49-F238E27FC236}">
              <a16:creationId xmlns:a16="http://schemas.microsoft.com/office/drawing/2014/main" id="{4EC515EA-987E-46BC-8613-CFC32A2A61F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40205" y="114300"/>
          <a:ext cx="413845" cy="333375"/>
        </a:xfrm>
        <a:prstGeom prst="rect">
          <a:avLst/>
        </a:prstGeom>
      </xdr:spPr>
    </xdr:pic>
    <xdr:clientData/>
  </xdr:twoCellAnchor>
  <xdr:twoCellAnchor>
    <xdr:from>
      <xdr:col>21</xdr:col>
      <xdr:colOff>133350</xdr:colOff>
      <xdr:row>1</xdr:row>
      <xdr:rowOff>171450</xdr:rowOff>
    </xdr:from>
    <xdr:to>
      <xdr:col>22</xdr:col>
      <xdr:colOff>133350</xdr:colOff>
      <xdr:row>3</xdr:row>
      <xdr:rowOff>19050</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F5D3BCEB-FEEE-4EB8-BDA4-925824359FEA}"/>
            </a:ext>
          </a:extLst>
        </xdr:cNvPr>
        <xdr:cNvSpPr txBox="1"/>
      </xdr:nvSpPr>
      <xdr:spPr>
        <a:xfrm>
          <a:off x="12934950" y="361950"/>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60000"/>
                  <a:lumOff val="40000"/>
                </a:schemeClr>
              </a:solidFill>
            </a:rPr>
            <a:t>Back</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161924</xdr:colOff>
      <xdr:row>3</xdr:row>
      <xdr:rowOff>123825</xdr:rowOff>
    </xdr:to>
    <xdr:sp macro="" textlink="">
      <xdr:nvSpPr>
        <xdr:cNvPr id="2" name="Rectangle 1">
          <a:extLst>
            <a:ext uri="{FF2B5EF4-FFF2-40B4-BE49-F238E27FC236}">
              <a16:creationId xmlns:a16="http://schemas.microsoft.com/office/drawing/2014/main" id="{E346CFFC-0865-4EB3-97D5-7274F01728CF}"/>
            </a:ext>
          </a:extLst>
        </xdr:cNvPr>
        <xdr:cNvSpPr/>
      </xdr:nvSpPr>
      <xdr:spPr>
        <a:xfrm>
          <a:off x="0" y="0"/>
          <a:ext cx="13573124"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0</xdr:row>
      <xdr:rowOff>0</xdr:rowOff>
    </xdr:from>
    <xdr:to>
      <xdr:col>14</xdr:col>
      <xdr:colOff>428624</xdr:colOff>
      <xdr:row>3</xdr:row>
      <xdr:rowOff>38100</xdr:rowOff>
    </xdr:to>
    <xdr:sp macro="" textlink="">
      <xdr:nvSpPr>
        <xdr:cNvPr id="3" name="TextBox 2">
          <a:extLst>
            <a:ext uri="{FF2B5EF4-FFF2-40B4-BE49-F238E27FC236}">
              <a16:creationId xmlns:a16="http://schemas.microsoft.com/office/drawing/2014/main" id="{4C43C37B-3A16-4B0A-A88B-FEEC39C68B87}"/>
            </a:ext>
          </a:extLst>
        </xdr:cNvPr>
        <xdr:cNvSpPr txBox="1"/>
      </xdr:nvSpPr>
      <xdr:spPr>
        <a:xfrm>
          <a:off x="3048000" y="0"/>
          <a:ext cx="5915024"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a:p>
          <a:pPr marL="0" marR="0" lvl="0" indent="0" algn="ctr" defTabSz="914400" eaLnBrk="1" fontAlgn="auto" latinLnBrk="0" hangingPunct="1">
            <a:lnSpc>
              <a:spcPct val="100000"/>
            </a:lnSpc>
            <a:spcBef>
              <a:spcPts val="0"/>
            </a:spcBef>
            <a:spcAft>
              <a:spcPts val="0"/>
            </a:spcAft>
            <a:buClrTx/>
            <a:buSzTx/>
            <a:buFontTx/>
            <a:buNone/>
            <a:tabLst/>
            <a:defRPr/>
          </a:pPr>
          <a:r>
            <a:rPr lang="en-IN" sz="1700" b="1">
              <a:solidFill>
                <a:srgbClr val="0070C0"/>
              </a:solidFill>
              <a:latin typeface="Cambria Math" panose="02040503050406030204" pitchFamily="18" charset="0"/>
              <a:ea typeface="Cambria Math" panose="02040503050406030204" pitchFamily="18" charset="0"/>
              <a:cs typeface="+mn-cs"/>
            </a:rPr>
            <a:t>Budget Analysis</a:t>
          </a:r>
        </a:p>
        <a:p>
          <a:pPr algn="ctr"/>
          <a:endParaRPr lang="en-IN" sz="1700" b="1">
            <a:solidFill>
              <a:srgbClr val="002060"/>
            </a:solidFill>
            <a:latin typeface="Cambria Math" panose="02040503050406030204" pitchFamily="18" charset="0"/>
            <a:ea typeface="Cambria Math" panose="02040503050406030204" pitchFamily="18" charset="0"/>
          </a:endParaRPr>
        </a:p>
      </xdr:txBody>
    </xdr:sp>
    <xdr:clientData/>
  </xdr:twoCellAnchor>
  <xdr:twoCellAnchor editAs="oneCell">
    <xdr:from>
      <xdr:col>0</xdr:col>
      <xdr:colOff>0</xdr:colOff>
      <xdr:row>22</xdr:row>
      <xdr:rowOff>66676</xdr:rowOff>
    </xdr:from>
    <xdr:to>
      <xdr:col>2</xdr:col>
      <xdr:colOff>292800</xdr:colOff>
      <xdr:row>30</xdr:row>
      <xdr:rowOff>142876</xdr:rowOff>
    </xdr:to>
    <mc:AlternateContent xmlns:mc="http://schemas.openxmlformats.org/markup-compatibility/2006" xmlns:a14="http://schemas.microsoft.com/office/drawing/2010/main">
      <mc:Choice Requires="a14">
        <xdr:graphicFrame macro="">
          <xdr:nvGraphicFramePr>
            <xdr:cNvPr id="4" name="BusinessUnit 5">
              <a:extLst>
                <a:ext uri="{FF2B5EF4-FFF2-40B4-BE49-F238E27FC236}">
                  <a16:creationId xmlns:a16="http://schemas.microsoft.com/office/drawing/2014/main" id="{2BBE3E60-7CB7-420B-9C26-EFE0502E9D59}"/>
                </a:ext>
              </a:extLst>
            </xdr:cNvPr>
            <xdr:cNvGraphicFramePr/>
          </xdr:nvGraphicFramePr>
          <xdr:xfrm>
            <a:off x="0" y="0"/>
            <a:ext cx="0" cy="0"/>
          </xdr:xfrm>
          <a:graphic>
            <a:graphicData uri="http://schemas.microsoft.com/office/drawing/2010/slicer">
              <sle:slicer xmlns:sle="http://schemas.microsoft.com/office/drawing/2010/slicer" name="BusinessUnit 5"/>
            </a:graphicData>
          </a:graphic>
        </xdr:graphicFrame>
      </mc:Choice>
      <mc:Fallback xmlns="">
        <xdr:sp macro="" textlink="">
          <xdr:nvSpPr>
            <xdr:cNvPr id="0" name=""/>
            <xdr:cNvSpPr>
              <a:spLocks noTextEdit="1"/>
            </xdr:cNvSpPr>
          </xdr:nvSpPr>
          <xdr:spPr>
            <a:xfrm>
              <a:off x="0" y="4257676"/>
              <a:ext cx="15120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180975</xdr:rowOff>
    </xdr:from>
    <xdr:to>
      <xdr:col>2</xdr:col>
      <xdr:colOff>292800</xdr:colOff>
      <xdr:row>22</xdr:row>
      <xdr:rowOff>28575</xdr:rowOff>
    </xdr:to>
    <mc:AlternateContent xmlns:mc="http://schemas.openxmlformats.org/markup-compatibility/2006" xmlns:a14="http://schemas.microsoft.com/office/drawing/2010/main">
      <mc:Choice Requires="a14">
        <xdr:graphicFrame macro="">
          <xdr:nvGraphicFramePr>
            <xdr:cNvPr id="5" name="Department 5">
              <a:extLst>
                <a:ext uri="{FF2B5EF4-FFF2-40B4-BE49-F238E27FC236}">
                  <a16:creationId xmlns:a16="http://schemas.microsoft.com/office/drawing/2014/main" id="{20285F4B-920C-4BF7-B768-E40802809591}"/>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0" y="1704975"/>
              <a:ext cx="1512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142875</xdr:rowOff>
    </xdr:from>
    <xdr:to>
      <xdr:col>2</xdr:col>
      <xdr:colOff>292800</xdr:colOff>
      <xdr:row>8</xdr:row>
      <xdr:rowOff>142875</xdr:rowOff>
    </xdr:to>
    <mc:AlternateContent xmlns:mc="http://schemas.openxmlformats.org/markup-compatibility/2006" xmlns:a14="http://schemas.microsoft.com/office/drawing/2010/main">
      <mc:Choice Requires="a14">
        <xdr:graphicFrame macro="">
          <xdr:nvGraphicFramePr>
            <xdr:cNvPr id="6" name="CustomerType 5">
              <a:extLst>
                <a:ext uri="{FF2B5EF4-FFF2-40B4-BE49-F238E27FC236}">
                  <a16:creationId xmlns:a16="http://schemas.microsoft.com/office/drawing/2014/main" id="{7E51035B-FEE6-420E-A5FE-FAA240E5CB8F}"/>
                </a:ext>
              </a:extLst>
            </xdr:cNvPr>
            <xdr:cNvGraphicFramePr/>
          </xdr:nvGraphicFramePr>
          <xdr:xfrm>
            <a:off x="0" y="0"/>
            <a:ext cx="0" cy="0"/>
          </xdr:xfrm>
          <a:graphic>
            <a:graphicData uri="http://schemas.microsoft.com/office/drawing/2010/slicer">
              <sle:slicer xmlns:sle="http://schemas.microsoft.com/office/drawing/2010/slicer" name="CustomerType 5"/>
            </a:graphicData>
          </a:graphic>
        </xdr:graphicFrame>
      </mc:Choice>
      <mc:Fallback xmlns="">
        <xdr:sp macro="" textlink="">
          <xdr:nvSpPr>
            <xdr:cNvPr id="0" name=""/>
            <xdr:cNvSpPr>
              <a:spLocks noTextEdit="1"/>
            </xdr:cNvSpPr>
          </xdr:nvSpPr>
          <xdr:spPr>
            <a:xfrm>
              <a:off x="0" y="714375"/>
              <a:ext cx="1512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295276</xdr:colOff>
      <xdr:row>3</xdr:row>
      <xdr:rowOff>123825</xdr:rowOff>
    </xdr:from>
    <xdr:to>
      <xdr:col>14</xdr:col>
      <xdr:colOff>247650</xdr:colOff>
      <xdr:row>18</xdr:row>
      <xdr:rowOff>9525</xdr:rowOff>
    </xdr:to>
    <xdr:graphicFrame macro="">
      <xdr:nvGraphicFramePr>
        <xdr:cNvPr id="11" name="Chart 10">
          <a:extLst>
            <a:ext uri="{FF2B5EF4-FFF2-40B4-BE49-F238E27FC236}">
              <a16:creationId xmlns:a16="http://schemas.microsoft.com/office/drawing/2014/main" id="{3322DC02-A2D3-4C17-BE98-5521606A9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295274</xdr:colOff>
      <xdr:row>18</xdr:row>
      <xdr:rowOff>19049</xdr:rowOff>
    </xdr:from>
    <xdr:to>
      <xdr:col>10</xdr:col>
      <xdr:colOff>209549</xdr:colOff>
      <xdr:row>30</xdr:row>
      <xdr:rowOff>142874</xdr:rowOff>
    </xdr:to>
    <xdr:graphicFrame macro="">
      <xdr:nvGraphicFramePr>
        <xdr:cNvPr id="12" name="Chart 11">
          <a:extLst>
            <a:ext uri="{FF2B5EF4-FFF2-40B4-BE49-F238E27FC236}">
              <a16:creationId xmlns:a16="http://schemas.microsoft.com/office/drawing/2014/main" id="{B9732774-F237-4C09-8850-2ABEF8169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219075</xdr:colOff>
      <xdr:row>18</xdr:row>
      <xdr:rowOff>9525</xdr:rowOff>
    </xdr:from>
    <xdr:to>
      <xdr:col>19</xdr:col>
      <xdr:colOff>295275</xdr:colOff>
      <xdr:row>30</xdr:row>
      <xdr:rowOff>142875</xdr:rowOff>
    </xdr:to>
    <xdr:graphicFrame macro="">
      <xdr:nvGraphicFramePr>
        <xdr:cNvPr id="13" name="Chart 12">
          <a:extLst>
            <a:ext uri="{FF2B5EF4-FFF2-40B4-BE49-F238E27FC236}">
              <a16:creationId xmlns:a16="http://schemas.microsoft.com/office/drawing/2014/main" id="{036A915E-0915-4732-98D5-87AC68C00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257174</xdr:colOff>
      <xdr:row>3</xdr:row>
      <xdr:rowOff>123825</xdr:rowOff>
    </xdr:from>
    <xdr:to>
      <xdr:col>19</xdr:col>
      <xdr:colOff>295275</xdr:colOff>
      <xdr:row>18</xdr:row>
      <xdr:rowOff>9525</xdr:rowOff>
    </xdr:to>
    <xdr:graphicFrame macro="">
      <xdr:nvGraphicFramePr>
        <xdr:cNvPr id="14" name="Chart 13">
          <a:extLst>
            <a:ext uri="{FF2B5EF4-FFF2-40B4-BE49-F238E27FC236}">
              <a16:creationId xmlns:a16="http://schemas.microsoft.com/office/drawing/2014/main" id="{608D931B-A345-4597-BC1C-758736009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323850</xdr:colOff>
      <xdr:row>7</xdr:row>
      <xdr:rowOff>38100</xdr:rowOff>
    </xdr:from>
    <xdr:to>
      <xdr:col>22</xdr:col>
      <xdr:colOff>79050</xdr:colOff>
      <xdr:row>24</xdr:row>
      <xdr:rowOff>95250</xdr:rowOff>
    </xdr:to>
    <mc:AlternateContent xmlns:mc="http://schemas.openxmlformats.org/markup-compatibility/2006" xmlns:a14="http://schemas.microsoft.com/office/drawing/2010/main">
      <mc:Choice Requires="a14">
        <xdr:graphicFrame macro="">
          <xdr:nvGraphicFramePr>
            <xdr:cNvPr id="15" name="Month 5">
              <a:extLst>
                <a:ext uri="{FF2B5EF4-FFF2-40B4-BE49-F238E27FC236}">
                  <a16:creationId xmlns:a16="http://schemas.microsoft.com/office/drawing/2014/main" id="{5856B130-44E3-43FE-93B2-335D454D9FCA}"/>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1906250" y="1371600"/>
              <a:ext cx="1584000" cy="329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24</xdr:row>
      <xdr:rowOff>95250</xdr:rowOff>
    </xdr:from>
    <xdr:to>
      <xdr:col>22</xdr:col>
      <xdr:colOff>79050</xdr:colOff>
      <xdr:row>30</xdr:row>
      <xdr:rowOff>152401</xdr:rowOff>
    </xdr:to>
    <mc:AlternateContent xmlns:mc="http://schemas.openxmlformats.org/markup-compatibility/2006" xmlns:a14="http://schemas.microsoft.com/office/drawing/2010/main">
      <mc:Choice Requires="a14">
        <xdr:graphicFrame macro="">
          <xdr:nvGraphicFramePr>
            <xdr:cNvPr id="16" name="Region 5">
              <a:extLst>
                <a:ext uri="{FF2B5EF4-FFF2-40B4-BE49-F238E27FC236}">
                  <a16:creationId xmlns:a16="http://schemas.microsoft.com/office/drawing/2014/main" id="{093393F8-C09C-46E2-8E73-070944B3813F}"/>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1906250" y="4667250"/>
              <a:ext cx="15840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3</xdr:row>
      <xdr:rowOff>171450</xdr:rowOff>
    </xdr:from>
    <xdr:to>
      <xdr:col>22</xdr:col>
      <xdr:colOff>79050</xdr:colOff>
      <xdr:row>7</xdr:row>
      <xdr:rowOff>38100</xdr:rowOff>
    </xdr:to>
    <mc:AlternateContent xmlns:mc="http://schemas.openxmlformats.org/markup-compatibility/2006" xmlns:a14="http://schemas.microsoft.com/office/drawing/2010/main">
      <mc:Choice Requires="a14">
        <xdr:graphicFrame macro="">
          <xdr:nvGraphicFramePr>
            <xdr:cNvPr id="17" name="Year 5">
              <a:extLst>
                <a:ext uri="{FF2B5EF4-FFF2-40B4-BE49-F238E27FC236}">
                  <a16:creationId xmlns:a16="http://schemas.microsoft.com/office/drawing/2014/main" id="{19E787C1-BA38-4D5D-A566-867614FC3CF8}"/>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1906250" y="742950"/>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186230</xdr:colOff>
      <xdr:row>0</xdr:row>
      <xdr:rowOff>104775</xdr:rowOff>
    </xdr:from>
    <xdr:to>
      <xdr:col>21</xdr:col>
      <xdr:colOff>600075</xdr:colOff>
      <xdr:row>2</xdr:row>
      <xdr:rowOff>57150</xdr:rowOff>
    </xdr:to>
    <xdr:pic>
      <xdr:nvPicPr>
        <xdr:cNvPr id="18" name="Graphic 17" descr="Back with solid fill">
          <a:extLst>
            <a:ext uri="{FF2B5EF4-FFF2-40B4-BE49-F238E27FC236}">
              <a16:creationId xmlns:a16="http://schemas.microsoft.com/office/drawing/2014/main" id="{F6EF982C-CED9-4323-9D59-1E9E4939D2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87830" y="104775"/>
          <a:ext cx="413845" cy="333375"/>
        </a:xfrm>
        <a:prstGeom prst="rect">
          <a:avLst/>
        </a:prstGeom>
      </xdr:spPr>
    </xdr:pic>
    <xdr:clientData/>
  </xdr:twoCellAnchor>
  <xdr:twoCellAnchor>
    <xdr:from>
      <xdr:col>21</xdr:col>
      <xdr:colOff>180975</xdr:colOff>
      <xdr:row>1</xdr:row>
      <xdr:rowOff>161925</xdr:rowOff>
    </xdr:from>
    <xdr:to>
      <xdr:col>22</xdr:col>
      <xdr:colOff>180975</xdr:colOff>
      <xdr:row>3</xdr:row>
      <xdr:rowOff>9525</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4E59A7D5-5E17-4349-87F0-BA3BD2BD1B74}"/>
            </a:ext>
          </a:extLst>
        </xdr:cNvPr>
        <xdr:cNvSpPr txBox="1"/>
      </xdr:nvSpPr>
      <xdr:spPr>
        <a:xfrm>
          <a:off x="12982575" y="352425"/>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60000"/>
                  <a:lumOff val="40000"/>
                </a:schemeClr>
              </a:solidFill>
            </a:rPr>
            <a:t>Back</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161924</xdr:colOff>
      <xdr:row>3</xdr:row>
      <xdr:rowOff>123825</xdr:rowOff>
    </xdr:to>
    <xdr:sp macro="" textlink="">
      <xdr:nvSpPr>
        <xdr:cNvPr id="2" name="Rectangle 1">
          <a:extLst>
            <a:ext uri="{FF2B5EF4-FFF2-40B4-BE49-F238E27FC236}">
              <a16:creationId xmlns:a16="http://schemas.microsoft.com/office/drawing/2014/main" id="{B2C9F249-0004-472D-84F9-6D6C1D327C6A}"/>
            </a:ext>
          </a:extLst>
        </xdr:cNvPr>
        <xdr:cNvSpPr/>
      </xdr:nvSpPr>
      <xdr:spPr>
        <a:xfrm>
          <a:off x="0" y="0"/>
          <a:ext cx="13573124"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0</xdr:row>
      <xdr:rowOff>0</xdr:rowOff>
    </xdr:from>
    <xdr:to>
      <xdr:col>14</xdr:col>
      <xdr:colOff>428624</xdr:colOff>
      <xdr:row>3</xdr:row>
      <xdr:rowOff>38100</xdr:rowOff>
    </xdr:to>
    <xdr:sp macro="" textlink="">
      <xdr:nvSpPr>
        <xdr:cNvPr id="3" name="TextBox 2">
          <a:extLst>
            <a:ext uri="{FF2B5EF4-FFF2-40B4-BE49-F238E27FC236}">
              <a16:creationId xmlns:a16="http://schemas.microsoft.com/office/drawing/2014/main" id="{79C6D046-2C5C-4E60-81EB-6A26B0DDA58A}"/>
            </a:ext>
          </a:extLst>
        </xdr:cNvPr>
        <xdr:cNvSpPr txBox="1"/>
      </xdr:nvSpPr>
      <xdr:spPr>
        <a:xfrm>
          <a:off x="3048000" y="0"/>
          <a:ext cx="5915024"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a:p>
          <a:pPr marL="0" marR="0" lvl="0" indent="0" algn="ctr" defTabSz="914400" eaLnBrk="1" fontAlgn="auto" latinLnBrk="0" hangingPunct="1">
            <a:lnSpc>
              <a:spcPct val="100000"/>
            </a:lnSpc>
            <a:spcBef>
              <a:spcPts val="0"/>
            </a:spcBef>
            <a:spcAft>
              <a:spcPts val="0"/>
            </a:spcAft>
            <a:buClrTx/>
            <a:buSzTx/>
            <a:buFontTx/>
            <a:buNone/>
            <a:tabLst/>
            <a:defRPr/>
          </a:pPr>
          <a:r>
            <a:rPr lang="en-IN" sz="1700" b="1">
              <a:solidFill>
                <a:srgbClr val="0070C0"/>
              </a:solidFill>
              <a:latin typeface="Cambria Math" panose="02040503050406030204" pitchFamily="18" charset="0"/>
              <a:ea typeface="Cambria Math" panose="02040503050406030204" pitchFamily="18" charset="0"/>
              <a:cs typeface="+mn-cs"/>
            </a:rPr>
            <a:t>Cash Flow Analysis</a:t>
          </a:r>
        </a:p>
        <a:p>
          <a:pPr algn="ctr"/>
          <a:endParaRPr lang="en-IN" sz="1700" b="1">
            <a:solidFill>
              <a:srgbClr val="002060"/>
            </a:solidFill>
            <a:latin typeface="Cambria Math" panose="02040503050406030204" pitchFamily="18" charset="0"/>
            <a:ea typeface="Cambria Math" panose="02040503050406030204" pitchFamily="18" charset="0"/>
          </a:endParaRPr>
        </a:p>
      </xdr:txBody>
    </xdr:sp>
    <xdr:clientData/>
  </xdr:twoCellAnchor>
  <xdr:twoCellAnchor editAs="oneCell">
    <xdr:from>
      <xdr:col>0</xdr:col>
      <xdr:colOff>0</xdr:colOff>
      <xdr:row>22</xdr:row>
      <xdr:rowOff>85726</xdr:rowOff>
    </xdr:from>
    <xdr:to>
      <xdr:col>2</xdr:col>
      <xdr:colOff>292800</xdr:colOff>
      <xdr:row>30</xdr:row>
      <xdr:rowOff>161926</xdr:rowOff>
    </xdr:to>
    <mc:AlternateContent xmlns:mc="http://schemas.openxmlformats.org/markup-compatibility/2006" xmlns:a14="http://schemas.microsoft.com/office/drawing/2010/main">
      <mc:Choice Requires="a14">
        <xdr:graphicFrame macro="">
          <xdr:nvGraphicFramePr>
            <xdr:cNvPr id="4" name="BusinessUnit 6">
              <a:extLst>
                <a:ext uri="{FF2B5EF4-FFF2-40B4-BE49-F238E27FC236}">
                  <a16:creationId xmlns:a16="http://schemas.microsoft.com/office/drawing/2014/main" id="{BB577A9A-3DF5-45B4-AC67-B8145C282555}"/>
                </a:ext>
              </a:extLst>
            </xdr:cNvPr>
            <xdr:cNvGraphicFramePr/>
          </xdr:nvGraphicFramePr>
          <xdr:xfrm>
            <a:off x="0" y="0"/>
            <a:ext cx="0" cy="0"/>
          </xdr:xfrm>
          <a:graphic>
            <a:graphicData uri="http://schemas.microsoft.com/office/drawing/2010/slicer">
              <sle:slicer xmlns:sle="http://schemas.microsoft.com/office/drawing/2010/slicer" name="BusinessUnit 6"/>
            </a:graphicData>
          </a:graphic>
        </xdr:graphicFrame>
      </mc:Choice>
      <mc:Fallback xmlns="">
        <xdr:sp macro="" textlink="">
          <xdr:nvSpPr>
            <xdr:cNvPr id="0" name=""/>
            <xdr:cNvSpPr>
              <a:spLocks noTextEdit="1"/>
            </xdr:cNvSpPr>
          </xdr:nvSpPr>
          <xdr:spPr>
            <a:xfrm>
              <a:off x="0" y="4276726"/>
              <a:ext cx="15120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9525</xdr:rowOff>
    </xdr:from>
    <xdr:to>
      <xdr:col>2</xdr:col>
      <xdr:colOff>292800</xdr:colOff>
      <xdr:row>22</xdr:row>
      <xdr:rowOff>47625</xdr:rowOff>
    </xdr:to>
    <mc:AlternateContent xmlns:mc="http://schemas.openxmlformats.org/markup-compatibility/2006" xmlns:a14="http://schemas.microsoft.com/office/drawing/2010/main">
      <mc:Choice Requires="a14">
        <xdr:graphicFrame macro="">
          <xdr:nvGraphicFramePr>
            <xdr:cNvPr id="5" name="Department 6">
              <a:extLst>
                <a:ext uri="{FF2B5EF4-FFF2-40B4-BE49-F238E27FC236}">
                  <a16:creationId xmlns:a16="http://schemas.microsoft.com/office/drawing/2014/main" id="{FA55E7DB-D718-44C2-A207-525553704736}"/>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0" y="1724025"/>
              <a:ext cx="1512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161925</xdr:rowOff>
    </xdr:from>
    <xdr:to>
      <xdr:col>2</xdr:col>
      <xdr:colOff>292800</xdr:colOff>
      <xdr:row>8</xdr:row>
      <xdr:rowOff>161925</xdr:rowOff>
    </xdr:to>
    <mc:AlternateContent xmlns:mc="http://schemas.openxmlformats.org/markup-compatibility/2006" xmlns:a14="http://schemas.microsoft.com/office/drawing/2010/main">
      <mc:Choice Requires="a14">
        <xdr:graphicFrame macro="">
          <xdr:nvGraphicFramePr>
            <xdr:cNvPr id="6" name="CustomerType 6">
              <a:extLst>
                <a:ext uri="{FF2B5EF4-FFF2-40B4-BE49-F238E27FC236}">
                  <a16:creationId xmlns:a16="http://schemas.microsoft.com/office/drawing/2014/main" id="{641129C2-AB44-47EA-BFF9-E9F403956584}"/>
                </a:ext>
              </a:extLst>
            </xdr:cNvPr>
            <xdr:cNvGraphicFramePr/>
          </xdr:nvGraphicFramePr>
          <xdr:xfrm>
            <a:off x="0" y="0"/>
            <a:ext cx="0" cy="0"/>
          </xdr:xfrm>
          <a:graphic>
            <a:graphicData uri="http://schemas.microsoft.com/office/drawing/2010/slicer">
              <sle:slicer xmlns:sle="http://schemas.microsoft.com/office/drawing/2010/slicer" name="CustomerType 6"/>
            </a:graphicData>
          </a:graphic>
        </xdr:graphicFrame>
      </mc:Choice>
      <mc:Fallback xmlns="">
        <xdr:sp macro="" textlink="">
          <xdr:nvSpPr>
            <xdr:cNvPr id="0" name=""/>
            <xdr:cNvSpPr>
              <a:spLocks noTextEdit="1"/>
            </xdr:cNvSpPr>
          </xdr:nvSpPr>
          <xdr:spPr>
            <a:xfrm>
              <a:off x="0" y="733425"/>
              <a:ext cx="1512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314326</xdr:colOff>
      <xdr:row>17</xdr:row>
      <xdr:rowOff>133350</xdr:rowOff>
    </xdr:from>
    <xdr:to>
      <xdr:col>13</xdr:col>
      <xdr:colOff>409576</xdr:colOff>
      <xdr:row>30</xdr:row>
      <xdr:rowOff>152399</xdr:rowOff>
    </xdr:to>
    <xdr:graphicFrame macro="">
      <xdr:nvGraphicFramePr>
        <xdr:cNvPr id="10" name="Chart 9">
          <a:extLst>
            <a:ext uri="{FF2B5EF4-FFF2-40B4-BE49-F238E27FC236}">
              <a16:creationId xmlns:a16="http://schemas.microsoft.com/office/drawing/2014/main" id="{75EA9380-BB9F-424D-82A8-5E61C6EEF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533401</xdr:colOff>
      <xdr:row>3</xdr:row>
      <xdr:rowOff>152400</xdr:rowOff>
    </xdr:from>
    <xdr:to>
      <xdr:col>19</xdr:col>
      <xdr:colOff>295275</xdr:colOff>
      <xdr:row>17</xdr:row>
      <xdr:rowOff>114300</xdr:rowOff>
    </xdr:to>
    <xdr:graphicFrame macro="">
      <xdr:nvGraphicFramePr>
        <xdr:cNvPr id="11" name="Chart 10">
          <a:extLst>
            <a:ext uri="{FF2B5EF4-FFF2-40B4-BE49-F238E27FC236}">
              <a16:creationId xmlns:a16="http://schemas.microsoft.com/office/drawing/2014/main" id="{DADB6501-6DE6-434F-8CA9-21F602F87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419100</xdr:colOff>
      <xdr:row>17</xdr:row>
      <xdr:rowOff>133350</xdr:rowOff>
    </xdr:from>
    <xdr:to>
      <xdr:col>19</xdr:col>
      <xdr:colOff>304800</xdr:colOff>
      <xdr:row>30</xdr:row>
      <xdr:rowOff>161925</xdr:rowOff>
    </xdr:to>
    <xdr:graphicFrame macro="">
      <xdr:nvGraphicFramePr>
        <xdr:cNvPr id="12" name="Chart 11">
          <a:extLst>
            <a:ext uri="{FF2B5EF4-FFF2-40B4-BE49-F238E27FC236}">
              <a16:creationId xmlns:a16="http://schemas.microsoft.com/office/drawing/2014/main" id="{2EC9E1C0-F837-4482-BFC8-D21A0FBE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323849</xdr:colOff>
      <xdr:row>3</xdr:row>
      <xdr:rowOff>161925</xdr:rowOff>
    </xdr:from>
    <xdr:to>
      <xdr:col>8</xdr:col>
      <xdr:colOff>514350</xdr:colOff>
      <xdr:row>17</xdr:row>
      <xdr:rowOff>104775</xdr:rowOff>
    </xdr:to>
    <xdr:graphicFrame macro="">
      <xdr:nvGraphicFramePr>
        <xdr:cNvPr id="13" name="Chart 12">
          <a:extLst>
            <a:ext uri="{FF2B5EF4-FFF2-40B4-BE49-F238E27FC236}">
              <a16:creationId xmlns:a16="http://schemas.microsoft.com/office/drawing/2014/main" id="{A0F716B4-822F-4AF3-817B-E74A43C5F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323850</xdr:colOff>
      <xdr:row>7</xdr:row>
      <xdr:rowOff>19050</xdr:rowOff>
    </xdr:from>
    <xdr:to>
      <xdr:col>22</xdr:col>
      <xdr:colOff>79050</xdr:colOff>
      <xdr:row>24</xdr:row>
      <xdr:rowOff>76200</xdr:rowOff>
    </xdr:to>
    <mc:AlternateContent xmlns:mc="http://schemas.openxmlformats.org/markup-compatibility/2006" xmlns:a14="http://schemas.microsoft.com/office/drawing/2010/main">
      <mc:Choice Requires="a14">
        <xdr:graphicFrame macro="">
          <xdr:nvGraphicFramePr>
            <xdr:cNvPr id="14" name="Month 6">
              <a:extLst>
                <a:ext uri="{FF2B5EF4-FFF2-40B4-BE49-F238E27FC236}">
                  <a16:creationId xmlns:a16="http://schemas.microsoft.com/office/drawing/2014/main" id="{7CF9EF8D-8B71-4B81-9948-34463E2D95BC}"/>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1906250" y="1352550"/>
              <a:ext cx="1584000" cy="329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24</xdr:row>
      <xdr:rowOff>76200</xdr:rowOff>
    </xdr:from>
    <xdr:to>
      <xdr:col>22</xdr:col>
      <xdr:colOff>79050</xdr:colOff>
      <xdr:row>30</xdr:row>
      <xdr:rowOff>133351</xdr:rowOff>
    </xdr:to>
    <mc:AlternateContent xmlns:mc="http://schemas.openxmlformats.org/markup-compatibility/2006" xmlns:a14="http://schemas.microsoft.com/office/drawing/2010/main">
      <mc:Choice Requires="a14">
        <xdr:graphicFrame macro="">
          <xdr:nvGraphicFramePr>
            <xdr:cNvPr id="15" name="Region 6">
              <a:extLst>
                <a:ext uri="{FF2B5EF4-FFF2-40B4-BE49-F238E27FC236}">
                  <a16:creationId xmlns:a16="http://schemas.microsoft.com/office/drawing/2014/main" id="{385FF42D-2498-4D1D-8CA7-14ED1CF8D89E}"/>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1906250" y="4648200"/>
              <a:ext cx="15840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3</xdr:row>
      <xdr:rowOff>152400</xdr:rowOff>
    </xdr:from>
    <xdr:to>
      <xdr:col>22</xdr:col>
      <xdr:colOff>79050</xdr:colOff>
      <xdr:row>7</xdr:row>
      <xdr:rowOff>19050</xdr:rowOff>
    </xdr:to>
    <mc:AlternateContent xmlns:mc="http://schemas.openxmlformats.org/markup-compatibility/2006" xmlns:a14="http://schemas.microsoft.com/office/drawing/2010/main">
      <mc:Choice Requires="a14">
        <xdr:graphicFrame macro="">
          <xdr:nvGraphicFramePr>
            <xdr:cNvPr id="16" name="Year 6">
              <a:extLst>
                <a:ext uri="{FF2B5EF4-FFF2-40B4-BE49-F238E27FC236}">
                  <a16:creationId xmlns:a16="http://schemas.microsoft.com/office/drawing/2014/main" id="{96A5D11E-C45C-451B-A334-C05D7313253C}"/>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1906250" y="723900"/>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81455</xdr:colOff>
      <xdr:row>0</xdr:row>
      <xdr:rowOff>142875</xdr:rowOff>
    </xdr:from>
    <xdr:to>
      <xdr:col>21</xdr:col>
      <xdr:colOff>495300</xdr:colOff>
      <xdr:row>2</xdr:row>
      <xdr:rowOff>95250</xdr:rowOff>
    </xdr:to>
    <xdr:pic>
      <xdr:nvPicPr>
        <xdr:cNvPr id="17" name="Graphic 16" descr="Back with solid fill">
          <a:extLst>
            <a:ext uri="{FF2B5EF4-FFF2-40B4-BE49-F238E27FC236}">
              <a16:creationId xmlns:a16="http://schemas.microsoft.com/office/drawing/2014/main" id="{0A7349FB-6874-4A7D-BD26-2ED6E13796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883055" y="142875"/>
          <a:ext cx="413845" cy="333375"/>
        </a:xfrm>
        <a:prstGeom prst="rect">
          <a:avLst/>
        </a:prstGeom>
      </xdr:spPr>
    </xdr:pic>
    <xdr:clientData/>
  </xdr:twoCellAnchor>
  <xdr:twoCellAnchor>
    <xdr:from>
      <xdr:col>21</xdr:col>
      <xdr:colOff>76200</xdr:colOff>
      <xdr:row>2</xdr:row>
      <xdr:rowOff>9525</xdr:rowOff>
    </xdr:from>
    <xdr:to>
      <xdr:col>22</xdr:col>
      <xdr:colOff>76200</xdr:colOff>
      <xdr:row>3</xdr:row>
      <xdr:rowOff>47625</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D6490C0D-AF7E-4873-985F-0BB9B9C912B7}"/>
            </a:ext>
          </a:extLst>
        </xdr:cNvPr>
        <xdr:cNvSpPr txBox="1"/>
      </xdr:nvSpPr>
      <xdr:spPr>
        <a:xfrm>
          <a:off x="12877800" y="390525"/>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60000"/>
                  <a:lumOff val="40000"/>
                </a:schemeClr>
              </a:solidFill>
            </a:rPr>
            <a:t>Back</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161924</xdr:colOff>
      <xdr:row>3</xdr:row>
      <xdr:rowOff>123825</xdr:rowOff>
    </xdr:to>
    <xdr:sp macro="" textlink="">
      <xdr:nvSpPr>
        <xdr:cNvPr id="2" name="Rectangle 1">
          <a:extLst>
            <a:ext uri="{FF2B5EF4-FFF2-40B4-BE49-F238E27FC236}">
              <a16:creationId xmlns:a16="http://schemas.microsoft.com/office/drawing/2014/main" id="{73820847-B5F8-4304-B38D-5EA372712B33}"/>
            </a:ext>
          </a:extLst>
        </xdr:cNvPr>
        <xdr:cNvSpPr/>
      </xdr:nvSpPr>
      <xdr:spPr>
        <a:xfrm>
          <a:off x="0" y="0"/>
          <a:ext cx="13573124" cy="695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0</xdr:row>
      <xdr:rowOff>0</xdr:rowOff>
    </xdr:from>
    <xdr:to>
      <xdr:col>14</xdr:col>
      <xdr:colOff>428624</xdr:colOff>
      <xdr:row>3</xdr:row>
      <xdr:rowOff>38100</xdr:rowOff>
    </xdr:to>
    <xdr:sp macro="" textlink="">
      <xdr:nvSpPr>
        <xdr:cNvPr id="3" name="TextBox 2">
          <a:extLst>
            <a:ext uri="{FF2B5EF4-FFF2-40B4-BE49-F238E27FC236}">
              <a16:creationId xmlns:a16="http://schemas.microsoft.com/office/drawing/2014/main" id="{153AF0E0-D78F-43F1-8C77-48F1E7E38743}"/>
            </a:ext>
          </a:extLst>
        </xdr:cNvPr>
        <xdr:cNvSpPr txBox="1"/>
      </xdr:nvSpPr>
      <xdr:spPr>
        <a:xfrm>
          <a:off x="3048000" y="0"/>
          <a:ext cx="5915024"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b="1">
              <a:solidFill>
                <a:srgbClr val="002060"/>
              </a:solidFill>
              <a:latin typeface="Cambria Math" panose="02040503050406030204" pitchFamily="18" charset="0"/>
              <a:ea typeface="Cambria Math" panose="02040503050406030204" pitchFamily="18" charset="0"/>
            </a:rPr>
            <a:t>Enterprise Finance Performance Dashboard – FY 2025</a:t>
          </a:r>
        </a:p>
        <a:p>
          <a:pPr marL="0" marR="0" lvl="0" indent="0" algn="ctr" defTabSz="914400" eaLnBrk="1" fontAlgn="auto" latinLnBrk="0" hangingPunct="1">
            <a:lnSpc>
              <a:spcPct val="100000"/>
            </a:lnSpc>
            <a:spcBef>
              <a:spcPts val="0"/>
            </a:spcBef>
            <a:spcAft>
              <a:spcPts val="0"/>
            </a:spcAft>
            <a:buClrTx/>
            <a:buSzTx/>
            <a:buFontTx/>
            <a:buNone/>
            <a:tabLst/>
            <a:defRPr/>
          </a:pPr>
          <a:r>
            <a:rPr lang="en-IN" sz="1700" b="1">
              <a:solidFill>
                <a:srgbClr val="0070C0"/>
              </a:solidFill>
              <a:latin typeface="Cambria Math" panose="02040503050406030204" pitchFamily="18" charset="0"/>
              <a:ea typeface="Cambria Math" panose="02040503050406030204" pitchFamily="18" charset="0"/>
              <a:cs typeface="+mn-cs"/>
            </a:rPr>
            <a:t>Customer</a:t>
          </a:r>
          <a:r>
            <a:rPr lang="en-IN" sz="1700" b="1" baseline="0">
              <a:solidFill>
                <a:srgbClr val="0070C0"/>
              </a:solidFill>
              <a:latin typeface="Cambria Math" panose="02040503050406030204" pitchFamily="18" charset="0"/>
              <a:ea typeface="Cambria Math" panose="02040503050406030204" pitchFamily="18" charset="0"/>
              <a:cs typeface="+mn-cs"/>
            </a:rPr>
            <a:t> Type</a:t>
          </a:r>
          <a:r>
            <a:rPr lang="en-IN" sz="1700" b="1">
              <a:solidFill>
                <a:srgbClr val="0070C0"/>
              </a:solidFill>
              <a:latin typeface="Cambria Math" panose="02040503050406030204" pitchFamily="18" charset="0"/>
              <a:ea typeface="Cambria Math" panose="02040503050406030204" pitchFamily="18" charset="0"/>
              <a:cs typeface="+mn-cs"/>
            </a:rPr>
            <a:t> Analysis</a:t>
          </a:r>
        </a:p>
        <a:p>
          <a:pPr algn="ctr"/>
          <a:endParaRPr lang="en-IN" sz="1700" b="1">
            <a:solidFill>
              <a:srgbClr val="002060"/>
            </a:solidFill>
            <a:latin typeface="Cambria Math" panose="02040503050406030204" pitchFamily="18" charset="0"/>
            <a:ea typeface="Cambria Math" panose="02040503050406030204" pitchFamily="18" charset="0"/>
          </a:endParaRPr>
        </a:p>
      </xdr:txBody>
    </xdr:sp>
    <xdr:clientData/>
  </xdr:twoCellAnchor>
  <xdr:twoCellAnchor editAs="oneCell">
    <xdr:from>
      <xdr:col>0</xdr:col>
      <xdr:colOff>0</xdr:colOff>
      <xdr:row>22</xdr:row>
      <xdr:rowOff>66676</xdr:rowOff>
    </xdr:from>
    <xdr:to>
      <xdr:col>2</xdr:col>
      <xdr:colOff>292800</xdr:colOff>
      <xdr:row>30</xdr:row>
      <xdr:rowOff>142876</xdr:rowOff>
    </xdr:to>
    <mc:AlternateContent xmlns:mc="http://schemas.openxmlformats.org/markup-compatibility/2006" xmlns:a14="http://schemas.microsoft.com/office/drawing/2010/main">
      <mc:Choice Requires="a14">
        <xdr:graphicFrame macro="">
          <xdr:nvGraphicFramePr>
            <xdr:cNvPr id="4" name="BusinessUnit 7">
              <a:extLst>
                <a:ext uri="{FF2B5EF4-FFF2-40B4-BE49-F238E27FC236}">
                  <a16:creationId xmlns:a16="http://schemas.microsoft.com/office/drawing/2014/main" id="{5DC93C5B-2018-48FB-8981-31C539D88B2A}"/>
                </a:ext>
              </a:extLst>
            </xdr:cNvPr>
            <xdr:cNvGraphicFramePr/>
          </xdr:nvGraphicFramePr>
          <xdr:xfrm>
            <a:off x="0" y="0"/>
            <a:ext cx="0" cy="0"/>
          </xdr:xfrm>
          <a:graphic>
            <a:graphicData uri="http://schemas.microsoft.com/office/drawing/2010/slicer">
              <sle:slicer xmlns:sle="http://schemas.microsoft.com/office/drawing/2010/slicer" name="BusinessUnit 7"/>
            </a:graphicData>
          </a:graphic>
        </xdr:graphicFrame>
      </mc:Choice>
      <mc:Fallback xmlns="">
        <xdr:sp macro="" textlink="">
          <xdr:nvSpPr>
            <xdr:cNvPr id="0" name=""/>
            <xdr:cNvSpPr>
              <a:spLocks noTextEdit="1"/>
            </xdr:cNvSpPr>
          </xdr:nvSpPr>
          <xdr:spPr>
            <a:xfrm>
              <a:off x="0" y="4257676"/>
              <a:ext cx="15120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180975</xdr:rowOff>
    </xdr:from>
    <xdr:to>
      <xdr:col>2</xdr:col>
      <xdr:colOff>292800</xdr:colOff>
      <xdr:row>22</xdr:row>
      <xdr:rowOff>28575</xdr:rowOff>
    </xdr:to>
    <mc:AlternateContent xmlns:mc="http://schemas.openxmlformats.org/markup-compatibility/2006" xmlns:a14="http://schemas.microsoft.com/office/drawing/2010/main">
      <mc:Choice Requires="a14">
        <xdr:graphicFrame macro="">
          <xdr:nvGraphicFramePr>
            <xdr:cNvPr id="5" name="Department 7">
              <a:extLst>
                <a:ext uri="{FF2B5EF4-FFF2-40B4-BE49-F238E27FC236}">
                  <a16:creationId xmlns:a16="http://schemas.microsoft.com/office/drawing/2014/main" id="{C06DB4EE-252A-4632-AF50-D6032A0951EC}"/>
                </a:ext>
              </a:extLst>
            </xdr:cNvPr>
            <xdr:cNvGraphicFramePr/>
          </xdr:nvGraphicFramePr>
          <xdr:xfrm>
            <a:off x="0" y="0"/>
            <a:ext cx="0" cy="0"/>
          </xdr:xfrm>
          <a:graphic>
            <a:graphicData uri="http://schemas.microsoft.com/office/drawing/2010/slicer">
              <sle:slicer xmlns:sle="http://schemas.microsoft.com/office/drawing/2010/slicer" name="Department 7"/>
            </a:graphicData>
          </a:graphic>
        </xdr:graphicFrame>
      </mc:Choice>
      <mc:Fallback xmlns="">
        <xdr:sp macro="" textlink="">
          <xdr:nvSpPr>
            <xdr:cNvPr id="0" name=""/>
            <xdr:cNvSpPr>
              <a:spLocks noTextEdit="1"/>
            </xdr:cNvSpPr>
          </xdr:nvSpPr>
          <xdr:spPr>
            <a:xfrm>
              <a:off x="0" y="1704975"/>
              <a:ext cx="1512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142875</xdr:rowOff>
    </xdr:from>
    <xdr:to>
      <xdr:col>2</xdr:col>
      <xdr:colOff>292800</xdr:colOff>
      <xdr:row>8</xdr:row>
      <xdr:rowOff>142875</xdr:rowOff>
    </xdr:to>
    <mc:AlternateContent xmlns:mc="http://schemas.openxmlformats.org/markup-compatibility/2006" xmlns:a14="http://schemas.microsoft.com/office/drawing/2010/main">
      <mc:Choice Requires="a14">
        <xdr:graphicFrame macro="">
          <xdr:nvGraphicFramePr>
            <xdr:cNvPr id="6" name="CustomerType 7">
              <a:extLst>
                <a:ext uri="{FF2B5EF4-FFF2-40B4-BE49-F238E27FC236}">
                  <a16:creationId xmlns:a16="http://schemas.microsoft.com/office/drawing/2014/main" id="{EA44990B-F7A9-4503-8E4E-748BF0321AD7}"/>
                </a:ext>
              </a:extLst>
            </xdr:cNvPr>
            <xdr:cNvGraphicFramePr/>
          </xdr:nvGraphicFramePr>
          <xdr:xfrm>
            <a:off x="0" y="0"/>
            <a:ext cx="0" cy="0"/>
          </xdr:xfrm>
          <a:graphic>
            <a:graphicData uri="http://schemas.microsoft.com/office/drawing/2010/slicer">
              <sle:slicer xmlns:sle="http://schemas.microsoft.com/office/drawing/2010/slicer" name="CustomerType 7"/>
            </a:graphicData>
          </a:graphic>
        </xdr:graphicFrame>
      </mc:Choice>
      <mc:Fallback xmlns="">
        <xdr:sp macro="" textlink="">
          <xdr:nvSpPr>
            <xdr:cNvPr id="0" name=""/>
            <xdr:cNvSpPr>
              <a:spLocks noTextEdit="1"/>
            </xdr:cNvSpPr>
          </xdr:nvSpPr>
          <xdr:spPr>
            <a:xfrm>
              <a:off x="0" y="714375"/>
              <a:ext cx="15120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314325</xdr:colOff>
      <xdr:row>7</xdr:row>
      <xdr:rowOff>38100</xdr:rowOff>
    </xdr:from>
    <xdr:to>
      <xdr:col>22</xdr:col>
      <xdr:colOff>69525</xdr:colOff>
      <xdr:row>24</xdr:row>
      <xdr:rowOff>95250</xdr:rowOff>
    </xdr:to>
    <mc:AlternateContent xmlns:mc="http://schemas.openxmlformats.org/markup-compatibility/2006" xmlns:a14="http://schemas.microsoft.com/office/drawing/2010/main">
      <mc:Choice Requires="a14">
        <xdr:graphicFrame macro="">
          <xdr:nvGraphicFramePr>
            <xdr:cNvPr id="10" name="Month 7">
              <a:extLst>
                <a:ext uri="{FF2B5EF4-FFF2-40B4-BE49-F238E27FC236}">
                  <a16:creationId xmlns:a16="http://schemas.microsoft.com/office/drawing/2014/main" id="{A302245C-02A8-45F3-9C75-A2B4AB1B3008}"/>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11896725" y="1371600"/>
              <a:ext cx="1584000" cy="329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314325</xdr:colOff>
      <xdr:row>24</xdr:row>
      <xdr:rowOff>95250</xdr:rowOff>
    </xdr:from>
    <xdr:to>
      <xdr:col>22</xdr:col>
      <xdr:colOff>69525</xdr:colOff>
      <xdr:row>30</xdr:row>
      <xdr:rowOff>152401</xdr:rowOff>
    </xdr:to>
    <mc:AlternateContent xmlns:mc="http://schemas.openxmlformats.org/markup-compatibility/2006" xmlns:a14="http://schemas.microsoft.com/office/drawing/2010/main">
      <mc:Choice Requires="a14">
        <xdr:graphicFrame macro="">
          <xdr:nvGraphicFramePr>
            <xdr:cNvPr id="11" name="Region 7">
              <a:extLst>
                <a:ext uri="{FF2B5EF4-FFF2-40B4-BE49-F238E27FC236}">
                  <a16:creationId xmlns:a16="http://schemas.microsoft.com/office/drawing/2014/main" id="{2BC709C7-3E64-45C8-A93A-D4B156934DFB}"/>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11896725" y="4667250"/>
              <a:ext cx="15840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314325</xdr:colOff>
      <xdr:row>3</xdr:row>
      <xdr:rowOff>171450</xdr:rowOff>
    </xdr:from>
    <xdr:to>
      <xdr:col>22</xdr:col>
      <xdr:colOff>69525</xdr:colOff>
      <xdr:row>7</xdr:row>
      <xdr:rowOff>38100</xdr:rowOff>
    </xdr:to>
    <mc:AlternateContent xmlns:mc="http://schemas.openxmlformats.org/markup-compatibility/2006" xmlns:a14="http://schemas.microsoft.com/office/drawing/2010/main">
      <mc:Choice Requires="a14">
        <xdr:graphicFrame macro="">
          <xdr:nvGraphicFramePr>
            <xdr:cNvPr id="12" name="Year 7">
              <a:extLst>
                <a:ext uri="{FF2B5EF4-FFF2-40B4-BE49-F238E27FC236}">
                  <a16:creationId xmlns:a16="http://schemas.microsoft.com/office/drawing/2014/main" id="{62BCD56D-AD0A-4AF7-AB11-6E3D126B9654}"/>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1896725" y="742950"/>
              <a:ext cx="158400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295275</xdr:colOff>
      <xdr:row>3</xdr:row>
      <xdr:rowOff>142875</xdr:rowOff>
    </xdr:from>
    <xdr:to>
      <xdr:col>13</xdr:col>
      <xdr:colOff>390525</xdr:colOff>
      <xdr:row>17</xdr:row>
      <xdr:rowOff>57150</xdr:rowOff>
    </xdr:to>
    <xdr:graphicFrame macro="">
      <xdr:nvGraphicFramePr>
        <xdr:cNvPr id="13" name="Chart 12">
          <a:extLst>
            <a:ext uri="{FF2B5EF4-FFF2-40B4-BE49-F238E27FC236}">
              <a16:creationId xmlns:a16="http://schemas.microsoft.com/office/drawing/2014/main" id="{F4CBAFC5-F12F-498E-99EA-97A447F29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400050</xdr:colOff>
      <xdr:row>3</xdr:row>
      <xdr:rowOff>133350</xdr:rowOff>
    </xdr:from>
    <xdr:to>
      <xdr:col>19</xdr:col>
      <xdr:colOff>295275</xdr:colOff>
      <xdr:row>30</xdr:row>
      <xdr:rowOff>142874</xdr:rowOff>
    </xdr:to>
    <xdr:graphicFrame macro="">
      <xdr:nvGraphicFramePr>
        <xdr:cNvPr id="14" name="Chart 13">
          <a:extLst>
            <a:ext uri="{FF2B5EF4-FFF2-40B4-BE49-F238E27FC236}">
              <a16:creationId xmlns:a16="http://schemas.microsoft.com/office/drawing/2014/main" id="{696E24FE-AE27-4651-A563-9FBE0896A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95251</xdr:colOff>
      <xdr:row>17</xdr:row>
      <xdr:rowOff>66674</xdr:rowOff>
    </xdr:from>
    <xdr:to>
      <xdr:col>13</xdr:col>
      <xdr:colOff>390525</xdr:colOff>
      <xdr:row>30</xdr:row>
      <xdr:rowOff>152399</xdr:rowOff>
    </xdr:to>
    <xdr:graphicFrame macro="">
      <xdr:nvGraphicFramePr>
        <xdr:cNvPr id="15" name="Chart 14">
          <a:extLst>
            <a:ext uri="{FF2B5EF4-FFF2-40B4-BE49-F238E27FC236}">
              <a16:creationId xmlns:a16="http://schemas.microsoft.com/office/drawing/2014/main" id="{F733DCCA-E91D-449A-9216-5BE3CF2C5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295275</xdr:colOff>
      <xdr:row>17</xdr:row>
      <xdr:rowOff>66675</xdr:rowOff>
    </xdr:from>
    <xdr:to>
      <xdr:col>8</xdr:col>
      <xdr:colOff>95250</xdr:colOff>
      <xdr:row>30</xdr:row>
      <xdr:rowOff>142875</xdr:rowOff>
    </xdr:to>
    <xdr:graphicFrame macro="">
      <xdr:nvGraphicFramePr>
        <xdr:cNvPr id="16" name="Chart 15">
          <a:extLst>
            <a:ext uri="{FF2B5EF4-FFF2-40B4-BE49-F238E27FC236}">
              <a16:creationId xmlns:a16="http://schemas.microsoft.com/office/drawing/2014/main" id="{7AB187CA-4BDE-4BD7-97E9-93671A6F3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90980</xdr:colOff>
      <xdr:row>0</xdr:row>
      <xdr:rowOff>104775</xdr:rowOff>
    </xdr:from>
    <xdr:to>
      <xdr:col>21</xdr:col>
      <xdr:colOff>504825</xdr:colOff>
      <xdr:row>2</xdr:row>
      <xdr:rowOff>57150</xdr:rowOff>
    </xdr:to>
    <xdr:pic>
      <xdr:nvPicPr>
        <xdr:cNvPr id="17" name="Graphic 16" descr="Back with solid fill">
          <a:extLst>
            <a:ext uri="{FF2B5EF4-FFF2-40B4-BE49-F238E27FC236}">
              <a16:creationId xmlns:a16="http://schemas.microsoft.com/office/drawing/2014/main" id="{7BB66A81-87FA-458E-A664-43A7140B4D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892580" y="104775"/>
          <a:ext cx="413845" cy="333375"/>
        </a:xfrm>
        <a:prstGeom prst="rect">
          <a:avLst/>
        </a:prstGeom>
      </xdr:spPr>
    </xdr:pic>
    <xdr:clientData/>
  </xdr:twoCellAnchor>
  <xdr:twoCellAnchor>
    <xdr:from>
      <xdr:col>21</xdr:col>
      <xdr:colOff>85725</xdr:colOff>
      <xdr:row>1</xdr:row>
      <xdr:rowOff>161925</xdr:rowOff>
    </xdr:from>
    <xdr:to>
      <xdr:col>22</xdr:col>
      <xdr:colOff>85725</xdr:colOff>
      <xdr:row>3</xdr:row>
      <xdr:rowOff>9525</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AF202123-F586-4698-B5AC-40626BA2389F}"/>
            </a:ext>
          </a:extLst>
        </xdr:cNvPr>
        <xdr:cNvSpPr txBox="1"/>
      </xdr:nvSpPr>
      <xdr:spPr>
        <a:xfrm>
          <a:off x="12887325" y="352425"/>
          <a:ext cx="609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60000"/>
                  <a:lumOff val="40000"/>
                </a:schemeClr>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6045.511796643521" createdVersion="8" refreshedVersion="8" minRefreshableVersion="3" recordCount="101" xr:uid="{DA50F2DB-8588-4035-8F46-8E8A948F6C9B}">
  <cacheSource type="worksheet">
    <worksheetSource name="Table1"/>
  </cacheSource>
  <cacheFields count="18">
    <cacheField name="Date" numFmtId="14">
      <sharedItems containsSemiMixedTypes="0" containsNonDate="0" containsDate="1" containsString="0" minDate="2025-01-01T00:00:00" maxDate="2025-10-11T00:00:00"/>
    </cacheField>
    <cacheField name="Year" numFmtId="0">
      <sharedItems containsSemiMixedTypes="0" containsString="0" containsNumber="1" containsInteger="1" minValue="2025" maxValue="2025" count="1">
        <n v="2025"/>
      </sharedItems>
    </cacheField>
    <cacheField name="Month" numFmtId="0">
      <sharedItems count="10">
        <s v="Jan"/>
        <s v="Feb"/>
        <s v="Mar"/>
        <s v="Apr"/>
        <s v="May"/>
        <s v="Jun"/>
        <s v="Jul"/>
        <s v="Aug"/>
        <s v="Sep"/>
        <s v="Oct"/>
      </sharedItems>
    </cacheField>
    <cacheField name="Region" numFmtId="0">
      <sharedItems count="4">
        <s v="North"/>
        <s v="South"/>
        <s v="East"/>
        <s v="West"/>
      </sharedItems>
    </cacheField>
    <cacheField name="BusinessUnit" numFmtId="0">
      <sharedItems count="4">
        <s v="Retail"/>
        <s v="Corporate"/>
        <s v="Technology"/>
        <s v="Finance"/>
      </sharedItems>
    </cacheField>
    <cacheField name="Department" numFmtId="0">
      <sharedItems count="7">
        <s v="Sales"/>
        <s v="Marketing"/>
        <s v="IT"/>
        <s v="Accounts"/>
        <s v="Operations"/>
        <s v="HR"/>
        <s v="Finance"/>
      </sharedItems>
    </cacheField>
    <cacheField name="RevenueStream" numFmtId="0">
      <sharedItems count="9">
        <s v="Product Sales"/>
        <s v="Service Revenue"/>
        <s v="Subscription"/>
        <s v="Interest Income"/>
        <s v="Consulting Fees"/>
        <s v="SaaS Revenue"/>
        <s v="Campaign Revenue"/>
        <s v="Investment Income"/>
        <s v="License Sales"/>
      </sharedItems>
    </cacheField>
    <cacheField name="ExpenseType" numFmtId="0">
      <sharedItems count="42">
        <s v="Logistics"/>
        <s v="Advertising"/>
        <s v="Cloud Services"/>
        <s v="Compliance"/>
        <s v="Warehouse"/>
        <s v="Training"/>
        <s v="Customer Support"/>
        <s v="Promotions"/>
        <s v="Audit Fees"/>
        <s v="Security"/>
        <s v="Transport"/>
        <s v="Digital Ads"/>
        <s v="Infrastructure"/>
        <s v="Legal"/>
        <s v="Inventory"/>
        <s v="Recruitment"/>
        <s v="Customer Success"/>
        <s v="Branding"/>
        <s v="Consulting"/>
        <s v="Maintenance"/>
        <s v="Delivery"/>
        <s v="Events"/>
        <s v="Data Center"/>
        <s v="Tax Advisory"/>
        <s v="Quality Control"/>
        <s v="Employee Welfare"/>
        <s v="Marketing"/>
        <s v="Risk Management"/>
        <s v="Upgrades"/>
        <s v="Returns"/>
        <s v="Media Spend"/>
        <s v="Server Costs"/>
        <s v="Packaging"/>
        <s v="Campaigns"/>
        <s v="Audit"/>
        <s v="Risk Advisory"/>
        <s v="Cloud Hosting"/>
        <s v="Tax Filing"/>
        <s v="PR Spend"/>
        <s v="Distribution"/>
        <s v="Reporting"/>
        <s v="Warehousing"/>
      </sharedItems>
    </cacheField>
    <cacheField name="CustomerType" numFmtId="0">
      <sharedItems count="2">
        <s v="B2C"/>
        <s v="B2B"/>
      </sharedItems>
    </cacheField>
    <cacheField name="PaymentMode" numFmtId="0">
      <sharedItems count="4">
        <s v="Credit Card"/>
        <s v="Bank Transfer"/>
        <s v="UPI"/>
        <s v="Cash"/>
      </sharedItems>
    </cacheField>
    <cacheField name="Revenue" numFmtId="0">
      <sharedItems containsSemiMixedTypes="0" containsString="0" containsNumber="1" containsInteger="1" minValue="66000" maxValue="150000"/>
    </cacheField>
    <cacheField name="Expense" numFmtId="0">
      <sharedItems containsSemiMixedTypes="0" containsString="0" containsNumber="1" containsInteger="1" minValue="28000" maxValue="70000"/>
    </cacheField>
    <cacheField name="GrossProfit" numFmtId="0">
      <sharedItems containsSemiMixedTypes="0" containsString="0" containsNumber="1" containsInteger="1" minValue="38000" maxValue="80000"/>
    </cacheField>
    <cacheField name="TaxAmount" numFmtId="0">
      <sharedItems containsSemiMixedTypes="0" containsString="0" containsNumber="1" containsInteger="1" minValue="5700" maxValue="12000"/>
    </cacheField>
    <cacheField name="NetProfit" numFmtId="0">
      <sharedItems containsSemiMixedTypes="0" containsString="0" containsNumber="1" containsInteger="1" minValue="32300" maxValue="68000"/>
    </cacheField>
    <cacheField name="Budget" numFmtId="0">
      <sharedItems containsSemiMixedTypes="0" containsString="0" containsNumber="1" containsInteger="1" minValue="65000" maxValue="148000"/>
    </cacheField>
    <cacheField name="Variance" numFmtId="0">
      <sharedItems containsSemiMixedTypes="0" containsString="0" containsNumber="1" containsInteger="1" minValue="1000" maxValue="5000"/>
    </cacheField>
    <cacheField name="CashFlow" numFmtId="0">
      <sharedItems containsSemiMixedTypes="0" containsString="0" containsNumber="1" containsInteger="1" minValue="32300" maxValue="68000"/>
    </cacheField>
  </cacheFields>
  <extLst>
    <ext xmlns:x14="http://schemas.microsoft.com/office/spreadsheetml/2009/9/main" uri="{725AE2AE-9491-48be-B2B4-4EB974FC3084}">
      <x14:pivotCacheDefinition pivotCacheId="2013062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d v="2025-01-01T00:00:00"/>
    <x v="0"/>
    <x v="0"/>
    <x v="0"/>
    <x v="0"/>
    <x v="0"/>
    <x v="0"/>
    <x v="0"/>
    <x v="0"/>
    <x v="0"/>
    <n v="85000"/>
    <n v="42000"/>
    <n v="43000"/>
    <n v="6450"/>
    <n v="36550"/>
    <n v="80000"/>
    <n v="5000"/>
    <n v="36550"/>
  </r>
  <r>
    <d v="2025-01-02T00:00:00"/>
    <x v="0"/>
    <x v="0"/>
    <x v="1"/>
    <x v="1"/>
    <x v="1"/>
    <x v="1"/>
    <x v="1"/>
    <x v="1"/>
    <x v="1"/>
    <n v="92000"/>
    <n v="38000"/>
    <n v="54000"/>
    <n v="8100"/>
    <n v="45900"/>
    <n v="90000"/>
    <n v="2000"/>
    <n v="45900"/>
  </r>
  <r>
    <d v="2025-01-03T00:00:00"/>
    <x v="0"/>
    <x v="0"/>
    <x v="2"/>
    <x v="2"/>
    <x v="2"/>
    <x v="2"/>
    <x v="2"/>
    <x v="1"/>
    <x v="2"/>
    <n v="78000"/>
    <n v="35000"/>
    <n v="43000"/>
    <n v="6450"/>
    <n v="36550"/>
    <n v="75000"/>
    <n v="3000"/>
    <n v="36550"/>
  </r>
  <r>
    <d v="2025-01-04T00:00:00"/>
    <x v="0"/>
    <x v="0"/>
    <x v="3"/>
    <x v="3"/>
    <x v="3"/>
    <x v="3"/>
    <x v="3"/>
    <x v="1"/>
    <x v="1"/>
    <n v="66000"/>
    <n v="28000"/>
    <n v="38000"/>
    <n v="5700"/>
    <n v="32300"/>
    <n v="65000"/>
    <n v="1000"/>
    <n v="32300"/>
  </r>
  <r>
    <d v="2025-01-05T00:00:00"/>
    <x v="0"/>
    <x v="0"/>
    <x v="0"/>
    <x v="0"/>
    <x v="4"/>
    <x v="0"/>
    <x v="4"/>
    <x v="0"/>
    <x v="3"/>
    <n v="88000"/>
    <n v="46000"/>
    <n v="42000"/>
    <n v="6300"/>
    <n v="35700"/>
    <n v="85000"/>
    <n v="3000"/>
    <n v="35700"/>
  </r>
  <r>
    <d v="2025-01-06T00:00:00"/>
    <x v="0"/>
    <x v="0"/>
    <x v="1"/>
    <x v="1"/>
    <x v="5"/>
    <x v="4"/>
    <x v="5"/>
    <x v="1"/>
    <x v="0"/>
    <n v="72000"/>
    <n v="30000"/>
    <n v="42000"/>
    <n v="6300"/>
    <n v="35700"/>
    <n v="70000"/>
    <n v="2000"/>
    <n v="35700"/>
  </r>
  <r>
    <d v="2025-01-07T00:00:00"/>
    <x v="0"/>
    <x v="0"/>
    <x v="2"/>
    <x v="2"/>
    <x v="0"/>
    <x v="5"/>
    <x v="6"/>
    <x v="1"/>
    <x v="2"/>
    <n v="98000"/>
    <n v="41000"/>
    <n v="57000"/>
    <n v="8550"/>
    <n v="48450"/>
    <n v="95000"/>
    <n v="3000"/>
    <n v="48450"/>
  </r>
  <r>
    <d v="2025-01-08T00:00:00"/>
    <x v="0"/>
    <x v="0"/>
    <x v="3"/>
    <x v="0"/>
    <x v="1"/>
    <x v="6"/>
    <x v="7"/>
    <x v="0"/>
    <x v="0"/>
    <n v="76000"/>
    <n v="33000"/>
    <n v="43000"/>
    <n v="6450"/>
    <n v="36550"/>
    <n v="75000"/>
    <n v="1000"/>
    <n v="36550"/>
  </r>
  <r>
    <d v="2025-01-09T00:00:00"/>
    <x v="0"/>
    <x v="0"/>
    <x v="0"/>
    <x v="1"/>
    <x v="6"/>
    <x v="7"/>
    <x v="8"/>
    <x v="1"/>
    <x v="1"/>
    <n v="105000"/>
    <n v="52000"/>
    <n v="53000"/>
    <n v="7950"/>
    <n v="45050"/>
    <n v="100000"/>
    <n v="5000"/>
    <n v="45050"/>
  </r>
  <r>
    <d v="2025-01-10T00:00:00"/>
    <x v="0"/>
    <x v="0"/>
    <x v="1"/>
    <x v="2"/>
    <x v="2"/>
    <x v="8"/>
    <x v="9"/>
    <x v="1"/>
    <x v="0"/>
    <n v="89000"/>
    <n v="37000"/>
    <n v="52000"/>
    <n v="7800"/>
    <n v="44200"/>
    <n v="88000"/>
    <n v="1000"/>
    <n v="44200"/>
  </r>
  <r>
    <d v="2025-02-11T00:00:00"/>
    <x v="0"/>
    <x v="1"/>
    <x v="2"/>
    <x v="0"/>
    <x v="0"/>
    <x v="0"/>
    <x v="10"/>
    <x v="0"/>
    <x v="2"/>
    <n v="83000"/>
    <n v="39000"/>
    <n v="44000"/>
    <n v="6600"/>
    <n v="37400"/>
    <n v="80000"/>
    <n v="3000"/>
    <n v="37400"/>
  </r>
  <r>
    <d v="2025-02-12T00:00:00"/>
    <x v="0"/>
    <x v="1"/>
    <x v="3"/>
    <x v="1"/>
    <x v="1"/>
    <x v="1"/>
    <x v="11"/>
    <x v="1"/>
    <x v="0"/>
    <n v="91000"/>
    <n v="42000"/>
    <n v="49000"/>
    <n v="7350"/>
    <n v="41650"/>
    <n v="90000"/>
    <n v="1000"/>
    <n v="41650"/>
  </r>
  <r>
    <d v="2025-02-13T00:00:00"/>
    <x v="0"/>
    <x v="1"/>
    <x v="0"/>
    <x v="2"/>
    <x v="2"/>
    <x v="2"/>
    <x v="12"/>
    <x v="1"/>
    <x v="1"/>
    <n v="99000"/>
    <n v="45000"/>
    <n v="54000"/>
    <n v="8100"/>
    <n v="45900"/>
    <n v="97000"/>
    <n v="2000"/>
    <n v="45900"/>
  </r>
  <r>
    <d v="2025-02-14T00:00:00"/>
    <x v="0"/>
    <x v="1"/>
    <x v="1"/>
    <x v="3"/>
    <x v="3"/>
    <x v="3"/>
    <x v="13"/>
    <x v="1"/>
    <x v="1"/>
    <n v="70000"/>
    <n v="29000"/>
    <n v="41000"/>
    <n v="6150"/>
    <n v="34850"/>
    <n v="68000"/>
    <n v="2000"/>
    <n v="34850"/>
  </r>
  <r>
    <d v="2025-02-15T00:00:00"/>
    <x v="0"/>
    <x v="1"/>
    <x v="2"/>
    <x v="0"/>
    <x v="4"/>
    <x v="0"/>
    <x v="14"/>
    <x v="0"/>
    <x v="3"/>
    <n v="86000"/>
    <n v="47000"/>
    <n v="39000"/>
    <n v="5850"/>
    <n v="33150"/>
    <n v="85000"/>
    <n v="1000"/>
    <n v="33150"/>
  </r>
  <r>
    <d v="2025-02-16T00:00:00"/>
    <x v="0"/>
    <x v="1"/>
    <x v="3"/>
    <x v="1"/>
    <x v="5"/>
    <x v="4"/>
    <x v="15"/>
    <x v="1"/>
    <x v="2"/>
    <n v="74000"/>
    <n v="31000"/>
    <n v="43000"/>
    <n v="6450"/>
    <n v="36550"/>
    <n v="72000"/>
    <n v="2000"/>
    <n v="36550"/>
  </r>
  <r>
    <d v="2025-02-17T00:00:00"/>
    <x v="0"/>
    <x v="1"/>
    <x v="0"/>
    <x v="2"/>
    <x v="0"/>
    <x v="5"/>
    <x v="16"/>
    <x v="1"/>
    <x v="0"/>
    <n v="102000"/>
    <n v="48000"/>
    <n v="54000"/>
    <n v="8100"/>
    <n v="45900"/>
    <n v="100000"/>
    <n v="2000"/>
    <n v="45900"/>
  </r>
  <r>
    <d v="2025-02-18T00:00:00"/>
    <x v="0"/>
    <x v="1"/>
    <x v="1"/>
    <x v="0"/>
    <x v="1"/>
    <x v="6"/>
    <x v="17"/>
    <x v="0"/>
    <x v="0"/>
    <n v="78000"/>
    <n v="35000"/>
    <n v="43000"/>
    <n v="6450"/>
    <n v="36550"/>
    <n v="76000"/>
    <n v="2000"/>
    <n v="36550"/>
  </r>
  <r>
    <d v="2025-02-19T00:00:00"/>
    <x v="0"/>
    <x v="1"/>
    <x v="2"/>
    <x v="1"/>
    <x v="6"/>
    <x v="7"/>
    <x v="18"/>
    <x v="1"/>
    <x v="1"/>
    <n v="110000"/>
    <n v="55000"/>
    <n v="55000"/>
    <n v="8250"/>
    <n v="46750"/>
    <n v="108000"/>
    <n v="2000"/>
    <n v="46750"/>
  </r>
  <r>
    <d v="2025-02-20T00:00:00"/>
    <x v="0"/>
    <x v="1"/>
    <x v="3"/>
    <x v="2"/>
    <x v="2"/>
    <x v="8"/>
    <x v="19"/>
    <x v="1"/>
    <x v="2"/>
    <n v="92000"/>
    <n v="39000"/>
    <n v="53000"/>
    <n v="7950"/>
    <n v="45050"/>
    <n v="90000"/>
    <n v="2000"/>
    <n v="45050"/>
  </r>
  <r>
    <d v="2025-03-21T00:00:00"/>
    <x v="0"/>
    <x v="2"/>
    <x v="0"/>
    <x v="0"/>
    <x v="0"/>
    <x v="0"/>
    <x v="20"/>
    <x v="0"/>
    <x v="0"/>
    <n v="88000"/>
    <n v="41000"/>
    <n v="47000"/>
    <n v="7050"/>
    <n v="39950"/>
    <n v="86000"/>
    <n v="2000"/>
    <n v="39950"/>
  </r>
  <r>
    <d v="2025-03-22T00:00:00"/>
    <x v="0"/>
    <x v="2"/>
    <x v="1"/>
    <x v="1"/>
    <x v="1"/>
    <x v="1"/>
    <x v="21"/>
    <x v="1"/>
    <x v="1"/>
    <n v="95000"/>
    <n v="44000"/>
    <n v="51000"/>
    <n v="7650"/>
    <n v="43350"/>
    <n v="93000"/>
    <n v="2000"/>
    <n v="43350"/>
  </r>
  <r>
    <d v="2025-03-23T00:00:00"/>
    <x v="0"/>
    <x v="2"/>
    <x v="2"/>
    <x v="2"/>
    <x v="2"/>
    <x v="2"/>
    <x v="22"/>
    <x v="1"/>
    <x v="0"/>
    <n v="101000"/>
    <n v="47000"/>
    <n v="54000"/>
    <n v="8100"/>
    <n v="45900"/>
    <n v="99000"/>
    <n v="2000"/>
    <n v="45900"/>
  </r>
  <r>
    <d v="2025-03-24T00:00:00"/>
    <x v="0"/>
    <x v="2"/>
    <x v="3"/>
    <x v="3"/>
    <x v="3"/>
    <x v="3"/>
    <x v="23"/>
    <x v="1"/>
    <x v="1"/>
    <n v="73000"/>
    <n v="31000"/>
    <n v="42000"/>
    <n v="6300"/>
    <n v="35700"/>
    <n v="71000"/>
    <n v="2000"/>
    <n v="35700"/>
  </r>
  <r>
    <d v="2025-03-25T00:00:00"/>
    <x v="0"/>
    <x v="2"/>
    <x v="0"/>
    <x v="0"/>
    <x v="4"/>
    <x v="0"/>
    <x v="24"/>
    <x v="0"/>
    <x v="3"/>
    <n v="87000"/>
    <n v="45000"/>
    <n v="42000"/>
    <n v="6300"/>
    <n v="35700"/>
    <n v="85000"/>
    <n v="2000"/>
    <n v="35700"/>
  </r>
  <r>
    <d v="2025-03-26T00:00:00"/>
    <x v="0"/>
    <x v="2"/>
    <x v="1"/>
    <x v="1"/>
    <x v="5"/>
    <x v="4"/>
    <x v="25"/>
    <x v="1"/>
    <x v="2"/>
    <n v="76000"/>
    <n v="33000"/>
    <n v="43000"/>
    <n v="6450"/>
    <n v="36550"/>
    <n v="74000"/>
    <n v="2000"/>
    <n v="36550"/>
  </r>
  <r>
    <d v="2025-03-27T00:00:00"/>
    <x v="0"/>
    <x v="2"/>
    <x v="2"/>
    <x v="2"/>
    <x v="0"/>
    <x v="5"/>
    <x v="26"/>
    <x v="1"/>
    <x v="0"/>
    <n v="108000"/>
    <n v="50000"/>
    <n v="58000"/>
    <n v="8700"/>
    <n v="49300"/>
    <n v="105000"/>
    <n v="3000"/>
    <n v="49300"/>
  </r>
  <r>
    <d v="2025-03-28T00:00:00"/>
    <x v="0"/>
    <x v="2"/>
    <x v="3"/>
    <x v="0"/>
    <x v="1"/>
    <x v="6"/>
    <x v="7"/>
    <x v="0"/>
    <x v="0"/>
    <n v="82000"/>
    <n v="36000"/>
    <n v="46000"/>
    <n v="6900"/>
    <n v="39100"/>
    <n v="80000"/>
    <n v="2000"/>
    <n v="39100"/>
  </r>
  <r>
    <d v="2025-03-29T00:00:00"/>
    <x v="0"/>
    <x v="2"/>
    <x v="0"/>
    <x v="1"/>
    <x v="6"/>
    <x v="7"/>
    <x v="27"/>
    <x v="1"/>
    <x v="1"/>
    <n v="115000"/>
    <n v="56000"/>
    <n v="59000"/>
    <n v="8850"/>
    <n v="50150"/>
    <n v="112000"/>
    <n v="3000"/>
    <n v="50150"/>
  </r>
  <r>
    <d v="2025-03-30T00:00:00"/>
    <x v="0"/>
    <x v="2"/>
    <x v="1"/>
    <x v="2"/>
    <x v="2"/>
    <x v="8"/>
    <x v="28"/>
    <x v="1"/>
    <x v="0"/>
    <n v="96000"/>
    <n v="42000"/>
    <n v="54000"/>
    <n v="8100"/>
    <n v="45900"/>
    <n v="94000"/>
    <n v="2000"/>
    <n v="45900"/>
  </r>
  <r>
    <d v="2025-03-31T00:00:00"/>
    <x v="0"/>
    <x v="2"/>
    <x v="2"/>
    <x v="0"/>
    <x v="0"/>
    <x v="0"/>
    <x v="29"/>
    <x v="0"/>
    <x v="2"/>
    <n v="85000"/>
    <n v="39000"/>
    <n v="46000"/>
    <n v="6900"/>
    <n v="39100"/>
    <n v="83000"/>
    <n v="2000"/>
    <n v="39100"/>
  </r>
  <r>
    <d v="2025-04-01T00:00:00"/>
    <x v="0"/>
    <x v="3"/>
    <x v="3"/>
    <x v="1"/>
    <x v="1"/>
    <x v="1"/>
    <x v="30"/>
    <x v="1"/>
    <x v="0"/>
    <n v="99000"/>
    <n v="45000"/>
    <n v="54000"/>
    <n v="8100"/>
    <n v="45900"/>
    <n v="97000"/>
    <n v="2000"/>
    <n v="45900"/>
  </r>
  <r>
    <d v="2025-04-02T00:00:00"/>
    <x v="0"/>
    <x v="3"/>
    <x v="0"/>
    <x v="2"/>
    <x v="2"/>
    <x v="2"/>
    <x v="31"/>
    <x v="1"/>
    <x v="1"/>
    <n v="103000"/>
    <n v="48000"/>
    <n v="55000"/>
    <n v="8250"/>
    <n v="46750"/>
    <n v="101000"/>
    <n v="2000"/>
    <n v="46750"/>
  </r>
  <r>
    <d v="2025-04-03T00:00:00"/>
    <x v="0"/>
    <x v="3"/>
    <x v="1"/>
    <x v="3"/>
    <x v="3"/>
    <x v="3"/>
    <x v="3"/>
    <x v="1"/>
    <x v="1"/>
    <n v="76000"/>
    <n v="32000"/>
    <n v="44000"/>
    <n v="6600"/>
    <n v="37400"/>
    <n v="74000"/>
    <n v="2000"/>
    <n v="37400"/>
  </r>
  <r>
    <d v="2025-04-04T00:00:00"/>
    <x v="0"/>
    <x v="3"/>
    <x v="2"/>
    <x v="0"/>
    <x v="4"/>
    <x v="0"/>
    <x v="32"/>
    <x v="0"/>
    <x v="3"/>
    <n v="89000"/>
    <n v="46000"/>
    <n v="43000"/>
    <n v="6450"/>
    <n v="36550"/>
    <n v="87000"/>
    <n v="2000"/>
    <n v="36550"/>
  </r>
  <r>
    <d v="2025-04-05T00:00:00"/>
    <x v="0"/>
    <x v="3"/>
    <x v="3"/>
    <x v="2"/>
    <x v="0"/>
    <x v="5"/>
    <x v="6"/>
    <x v="1"/>
    <x v="0"/>
    <n v="112000"/>
    <n v="52000"/>
    <n v="60000"/>
    <n v="9000"/>
    <n v="51000"/>
    <n v="110000"/>
    <n v="2000"/>
    <n v="51000"/>
  </r>
  <r>
    <d v="2025-04-06T00:00:00"/>
    <x v="0"/>
    <x v="3"/>
    <x v="1"/>
    <x v="0"/>
    <x v="0"/>
    <x v="0"/>
    <x v="20"/>
    <x v="0"/>
    <x v="2"/>
    <n v="92000"/>
    <n v="43000"/>
    <n v="49000"/>
    <n v="7350"/>
    <n v="41650"/>
    <n v="90000"/>
    <n v="2000"/>
    <n v="41650"/>
  </r>
  <r>
    <d v="2025-04-07T00:00:00"/>
    <x v="0"/>
    <x v="3"/>
    <x v="2"/>
    <x v="1"/>
    <x v="1"/>
    <x v="1"/>
    <x v="33"/>
    <x v="1"/>
    <x v="0"/>
    <n v="98000"/>
    <n v="46000"/>
    <n v="52000"/>
    <n v="7800"/>
    <n v="44200"/>
    <n v="96000"/>
    <n v="2000"/>
    <n v="44200"/>
  </r>
  <r>
    <d v="2025-04-08T00:00:00"/>
    <x v="0"/>
    <x v="3"/>
    <x v="3"/>
    <x v="2"/>
    <x v="2"/>
    <x v="2"/>
    <x v="12"/>
    <x v="1"/>
    <x v="1"/>
    <n v="105000"/>
    <n v="49000"/>
    <n v="56000"/>
    <n v="8400"/>
    <n v="47600"/>
    <n v="103000"/>
    <n v="2000"/>
    <n v="47600"/>
  </r>
  <r>
    <d v="2025-04-09T00:00:00"/>
    <x v="0"/>
    <x v="3"/>
    <x v="0"/>
    <x v="3"/>
    <x v="3"/>
    <x v="3"/>
    <x v="34"/>
    <x v="1"/>
    <x v="1"/>
    <n v="78000"/>
    <n v="34000"/>
    <n v="44000"/>
    <n v="6600"/>
    <n v="37400"/>
    <n v="76000"/>
    <n v="2000"/>
    <n v="37400"/>
  </r>
  <r>
    <d v="2025-04-10T00:00:00"/>
    <x v="0"/>
    <x v="3"/>
    <x v="1"/>
    <x v="0"/>
    <x v="4"/>
    <x v="0"/>
    <x v="14"/>
    <x v="0"/>
    <x v="3"/>
    <n v="86000"/>
    <n v="45000"/>
    <n v="41000"/>
    <n v="6150"/>
    <n v="34850"/>
    <n v="84000"/>
    <n v="2000"/>
    <n v="34850"/>
  </r>
  <r>
    <d v="2025-05-11T00:00:00"/>
    <x v="0"/>
    <x v="4"/>
    <x v="2"/>
    <x v="1"/>
    <x v="5"/>
    <x v="4"/>
    <x v="15"/>
    <x v="1"/>
    <x v="2"/>
    <n v="79000"/>
    <n v="35000"/>
    <n v="44000"/>
    <n v="6600"/>
    <n v="37400"/>
    <n v="77000"/>
    <n v="2000"/>
    <n v="37400"/>
  </r>
  <r>
    <d v="2025-05-12T00:00:00"/>
    <x v="0"/>
    <x v="4"/>
    <x v="3"/>
    <x v="2"/>
    <x v="0"/>
    <x v="5"/>
    <x v="16"/>
    <x v="1"/>
    <x v="0"/>
    <n v="115000"/>
    <n v="54000"/>
    <n v="61000"/>
    <n v="9150"/>
    <n v="51850"/>
    <n v="112000"/>
    <n v="3000"/>
    <n v="51850"/>
  </r>
  <r>
    <d v="2025-05-13T00:00:00"/>
    <x v="0"/>
    <x v="4"/>
    <x v="0"/>
    <x v="0"/>
    <x v="1"/>
    <x v="6"/>
    <x v="17"/>
    <x v="0"/>
    <x v="0"/>
    <n v="84000"/>
    <n v="38000"/>
    <n v="46000"/>
    <n v="6900"/>
    <n v="39100"/>
    <n v="82000"/>
    <n v="2000"/>
    <n v="39100"/>
  </r>
  <r>
    <d v="2025-05-14T00:00:00"/>
    <x v="0"/>
    <x v="4"/>
    <x v="1"/>
    <x v="1"/>
    <x v="6"/>
    <x v="7"/>
    <x v="35"/>
    <x v="1"/>
    <x v="1"/>
    <n v="120000"/>
    <n v="58000"/>
    <n v="62000"/>
    <n v="9300"/>
    <n v="52700"/>
    <n v="118000"/>
    <n v="2000"/>
    <n v="52700"/>
  </r>
  <r>
    <d v="2025-05-15T00:00:00"/>
    <x v="0"/>
    <x v="4"/>
    <x v="2"/>
    <x v="2"/>
    <x v="2"/>
    <x v="8"/>
    <x v="19"/>
    <x v="1"/>
    <x v="2"/>
    <n v="97000"/>
    <n v="42000"/>
    <n v="55000"/>
    <n v="8250"/>
    <n v="46750"/>
    <n v="95000"/>
    <n v="2000"/>
    <n v="46750"/>
  </r>
  <r>
    <d v="2025-05-16T00:00:00"/>
    <x v="0"/>
    <x v="4"/>
    <x v="3"/>
    <x v="0"/>
    <x v="0"/>
    <x v="0"/>
    <x v="10"/>
    <x v="0"/>
    <x v="3"/>
    <n v="89000"/>
    <n v="41000"/>
    <n v="48000"/>
    <n v="7200"/>
    <n v="40800"/>
    <n v="87000"/>
    <n v="2000"/>
    <n v="40800"/>
  </r>
  <r>
    <d v="2025-05-17T00:00:00"/>
    <x v="0"/>
    <x v="4"/>
    <x v="0"/>
    <x v="1"/>
    <x v="1"/>
    <x v="1"/>
    <x v="21"/>
    <x v="1"/>
    <x v="0"/>
    <n v="102000"/>
    <n v="47000"/>
    <n v="55000"/>
    <n v="8250"/>
    <n v="46750"/>
    <n v="100000"/>
    <n v="2000"/>
    <n v="46750"/>
  </r>
  <r>
    <d v="2025-05-18T00:00:00"/>
    <x v="0"/>
    <x v="4"/>
    <x v="1"/>
    <x v="2"/>
    <x v="2"/>
    <x v="2"/>
    <x v="36"/>
    <x v="1"/>
    <x v="1"/>
    <n v="108000"/>
    <n v="50000"/>
    <n v="58000"/>
    <n v="8700"/>
    <n v="49300"/>
    <n v="106000"/>
    <n v="2000"/>
    <n v="49300"/>
  </r>
  <r>
    <d v="2025-05-19T00:00:00"/>
    <x v="0"/>
    <x v="4"/>
    <x v="2"/>
    <x v="3"/>
    <x v="3"/>
    <x v="3"/>
    <x v="37"/>
    <x v="1"/>
    <x v="1"/>
    <n v="82000"/>
    <n v="36000"/>
    <n v="46000"/>
    <n v="6900"/>
    <n v="39100"/>
    <n v="80000"/>
    <n v="2000"/>
    <n v="39100"/>
  </r>
  <r>
    <d v="2025-05-20T00:00:00"/>
    <x v="0"/>
    <x v="4"/>
    <x v="3"/>
    <x v="0"/>
    <x v="4"/>
    <x v="0"/>
    <x v="32"/>
    <x v="0"/>
    <x v="3"/>
    <n v="91000"/>
    <n v="47000"/>
    <n v="44000"/>
    <n v="6600"/>
    <n v="37400"/>
    <n v="89000"/>
    <n v="2000"/>
    <n v="37400"/>
  </r>
  <r>
    <d v="2025-06-21T00:00:00"/>
    <x v="0"/>
    <x v="5"/>
    <x v="0"/>
    <x v="1"/>
    <x v="5"/>
    <x v="4"/>
    <x v="5"/>
    <x v="1"/>
    <x v="2"/>
    <n v="83000"/>
    <n v="36000"/>
    <n v="47000"/>
    <n v="7050"/>
    <n v="39950"/>
    <n v="81000"/>
    <n v="2000"/>
    <n v="39950"/>
  </r>
  <r>
    <d v="2025-06-22T00:00:00"/>
    <x v="0"/>
    <x v="5"/>
    <x v="1"/>
    <x v="2"/>
    <x v="0"/>
    <x v="5"/>
    <x v="26"/>
    <x v="1"/>
    <x v="0"/>
    <n v="118000"/>
    <n v="55000"/>
    <n v="63000"/>
    <n v="9450"/>
    <n v="53550"/>
    <n v="115000"/>
    <n v="3000"/>
    <n v="53550"/>
  </r>
  <r>
    <d v="2025-06-23T00:00:00"/>
    <x v="0"/>
    <x v="5"/>
    <x v="2"/>
    <x v="0"/>
    <x v="0"/>
    <x v="0"/>
    <x v="29"/>
    <x v="0"/>
    <x v="2"/>
    <n v="87000"/>
    <n v="40000"/>
    <n v="47000"/>
    <n v="7050"/>
    <n v="39950"/>
    <n v="85000"/>
    <n v="2000"/>
    <n v="39950"/>
  </r>
  <r>
    <d v="2025-06-24T00:00:00"/>
    <x v="0"/>
    <x v="5"/>
    <x v="3"/>
    <x v="1"/>
    <x v="6"/>
    <x v="7"/>
    <x v="18"/>
    <x v="1"/>
    <x v="1"/>
    <n v="125000"/>
    <n v="60000"/>
    <n v="65000"/>
    <n v="9750"/>
    <n v="55250"/>
    <n v="122000"/>
    <n v="3000"/>
    <n v="55250"/>
  </r>
  <r>
    <d v="2025-06-25T00:00:00"/>
    <x v="0"/>
    <x v="5"/>
    <x v="0"/>
    <x v="2"/>
    <x v="2"/>
    <x v="8"/>
    <x v="28"/>
    <x v="1"/>
    <x v="0"/>
    <n v="101000"/>
    <n v="46000"/>
    <n v="55000"/>
    <n v="8250"/>
    <n v="46750"/>
    <n v="99000"/>
    <n v="2000"/>
    <n v="46750"/>
  </r>
  <r>
    <d v="2025-06-26T00:00:00"/>
    <x v="0"/>
    <x v="5"/>
    <x v="1"/>
    <x v="0"/>
    <x v="1"/>
    <x v="6"/>
    <x v="30"/>
    <x v="0"/>
    <x v="0"/>
    <n v="88000"/>
    <n v="39000"/>
    <n v="49000"/>
    <n v="7350"/>
    <n v="41650"/>
    <n v="86000"/>
    <n v="2000"/>
    <n v="41650"/>
  </r>
  <r>
    <d v="2025-06-27T00:00:00"/>
    <x v="0"/>
    <x v="5"/>
    <x v="2"/>
    <x v="1"/>
    <x v="5"/>
    <x v="4"/>
    <x v="25"/>
    <x v="1"/>
    <x v="2"/>
    <n v="84000"/>
    <n v="37000"/>
    <n v="47000"/>
    <n v="7050"/>
    <n v="39950"/>
    <n v="82000"/>
    <n v="2000"/>
    <n v="39950"/>
  </r>
  <r>
    <d v="2025-06-28T00:00:00"/>
    <x v="0"/>
    <x v="5"/>
    <x v="3"/>
    <x v="2"/>
    <x v="2"/>
    <x v="2"/>
    <x v="31"/>
    <x v="1"/>
    <x v="1"/>
    <n v="110000"/>
    <n v="52000"/>
    <n v="58000"/>
    <n v="8700"/>
    <n v="49300"/>
    <n v="108000"/>
    <n v="2000"/>
    <n v="49300"/>
  </r>
  <r>
    <d v="2025-06-29T00:00:00"/>
    <x v="0"/>
    <x v="5"/>
    <x v="0"/>
    <x v="3"/>
    <x v="3"/>
    <x v="3"/>
    <x v="3"/>
    <x v="1"/>
    <x v="1"/>
    <n v="90000"/>
    <n v="38000"/>
    <n v="52000"/>
    <n v="7800"/>
    <n v="44200"/>
    <n v="88000"/>
    <n v="2000"/>
    <n v="44200"/>
  </r>
  <r>
    <d v="2025-06-30T00:00:00"/>
    <x v="0"/>
    <x v="5"/>
    <x v="1"/>
    <x v="0"/>
    <x v="4"/>
    <x v="0"/>
    <x v="24"/>
    <x v="0"/>
    <x v="3"/>
    <n v="93000"/>
    <n v="48000"/>
    <n v="45000"/>
    <n v="6750"/>
    <n v="38250"/>
    <n v="91000"/>
    <n v="2000"/>
    <n v="38250"/>
  </r>
  <r>
    <d v="2025-07-01T00:00:00"/>
    <x v="0"/>
    <x v="6"/>
    <x v="2"/>
    <x v="2"/>
    <x v="0"/>
    <x v="5"/>
    <x v="6"/>
    <x v="1"/>
    <x v="0"/>
    <n v="122000"/>
    <n v="57000"/>
    <n v="65000"/>
    <n v="9750"/>
    <n v="55250"/>
    <n v="120000"/>
    <n v="2000"/>
    <n v="55250"/>
  </r>
  <r>
    <d v="2025-07-02T00:00:00"/>
    <x v="0"/>
    <x v="6"/>
    <x v="3"/>
    <x v="1"/>
    <x v="1"/>
    <x v="1"/>
    <x v="38"/>
    <x v="1"/>
    <x v="0"/>
    <n v="96000"/>
    <n v="44000"/>
    <n v="52000"/>
    <n v="7800"/>
    <n v="44200"/>
    <n v="94000"/>
    <n v="2000"/>
    <n v="44200"/>
  </r>
  <r>
    <d v="2025-07-03T00:00:00"/>
    <x v="0"/>
    <x v="6"/>
    <x v="0"/>
    <x v="0"/>
    <x v="0"/>
    <x v="0"/>
    <x v="39"/>
    <x v="0"/>
    <x v="2"/>
    <n v="90000"/>
    <n v="42000"/>
    <n v="48000"/>
    <n v="7200"/>
    <n v="40800"/>
    <n v="88000"/>
    <n v="2000"/>
    <n v="40800"/>
  </r>
  <r>
    <d v="2025-07-04T00:00:00"/>
    <x v="0"/>
    <x v="6"/>
    <x v="1"/>
    <x v="2"/>
    <x v="2"/>
    <x v="2"/>
    <x v="9"/>
    <x v="1"/>
    <x v="1"/>
    <n v="107000"/>
    <n v="50000"/>
    <n v="57000"/>
    <n v="8550"/>
    <n v="48450"/>
    <n v="105000"/>
    <n v="2000"/>
    <n v="48450"/>
  </r>
  <r>
    <d v="2025-07-05T00:00:00"/>
    <x v="0"/>
    <x v="6"/>
    <x v="2"/>
    <x v="3"/>
    <x v="3"/>
    <x v="3"/>
    <x v="40"/>
    <x v="1"/>
    <x v="1"/>
    <n v="85000"/>
    <n v="36000"/>
    <n v="49000"/>
    <n v="7350"/>
    <n v="41650"/>
    <n v="83000"/>
    <n v="2000"/>
    <n v="41650"/>
  </r>
  <r>
    <d v="2025-07-06T00:00:00"/>
    <x v="0"/>
    <x v="6"/>
    <x v="3"/>
    <x v="0"/>
    <x v="4"/>
    <x v="0"/>
    <x v="41"/>
    <x v="0"/>
    <x v="3"/>
    <n v="94000"/>
    <n v="47000"/>
    <n v="47000"/>
    <n v="7050"/>
    <n v="39950"/>
    <n v="92000"/>
    <n v="2000"/>
    <n v="39950"/>
  </r>
  <r>
    <d v="2025-07-07T00:00:00"/>
    <x v="0"/>
    <x v="6"/>
    <x v="0"/>
    <x v="1"/>
    <x v="5"/>
    <x v="4"/>
    <x v="5"/>
    <x v="1"/>
    <x v="2"/>
    <n v="86000"/>
    <n v="38000"/>
    <n v="48000"/>
    <n v="7200"/>
    <n v="40800"/>
    <n v="84000"/>
    <n v="2000"/>
    <n v="40800"/>
  </r>
  <r>
    <d v="2025-07-08T00:00:00"/>
    <x v="0"/>
    <x v="6"/>
    <x v="1"/>
    <x v="2"/>
    <x v="0"/>
    <x v="5"/>
    <x v="26"/>
    <x v="1"/>
    <x v="0"/>
    <n v="125000"/>
    <n v="58000"/>
    <n v="67000"/>
    <n v="10050"/>
    <n v="56950"/>
    <n v="123000"/>
    <n v="2000"/>
    <n v="56950"/>
  </r>
  <r>
    <d v="2025-07-09T00:00:00"/>
    <x v="0"/>
    <x v="6"/>
    <x v="2"/>
    <x v="3"/>
    <x v="3"/>
    <x v="3"/>
    <x v="23"/>
    <x v="1"/>
    <x v="1"/>
    <n v="89000"/>
    <n v="37000"/>
    <n v="52000"/>
    <n v="7800"/>
    <n v="44200"/>
    <n v="87000"/>
    <n v="2000"/>
    <n v="44200"/>
  </r>
  <r>
    <d v="2025-07-10T00:00:00"/>
    <x v="0"/>
    <x v="6"/>
    <x v="3"/>
    <x v="1"/>
    <x v="1"/>
    <x v="1"/>
    <x v="30"/>
    <x v="1"/>
    <x v="0"/>
    <n v="98000"/>
    <n v="45000"/>
    <n v="53000"/>
    <n v="7950"/>
    <n v="45050"/>
    <n v="96000"/>
    <n v="2000"/>
    <n v="45050"/>
  </r>
  <r>
    <d v="2025-08-11T00:00:00"/>
    <x v="0"/>
    <x v="7"/>
    <x v="0"/>
    <x v="0"/>
    <x v="0"/>
    <x v="0"/>
    <x v="39"/>
    <x v="0"/>
    <x v="2"/>
    <n v="92000"/>
    <n v="43000"/>
    <n v="49000"/>
    <n v="7350"/>
    <n v="41650"/>
    <n v="90000"/>
    <n v="2000"/>
    <n v="41650"/>
  </r>
  <r>
    <d v="2025-08-12T00:00:00"/>
    <x v="0"/>
    <x v="7"/>
    <x v="1"/>
    <x v="2"/>
    <x v="2"/>
    <x v="2"/>
    <x v="12"/>
    <x v="1"/>
    <x v="1"/>
    <n v="110000"/>
    <n v="52000"/>
    <n v="58000"/>
    <n v="8700"/>
    <n v="49300"/>
    <n v="108000"/>
    <n v="2000"/>
    <n v="49300"/>
  </r>
  <r>
    <d v="2025-08-13T00:00:00"/>
    <x v="0"/>
    <x v="7"/>
    <x v="2"/>
    <x v="1"/>
    <x v="6"/>
    <x v="7"/>
    <x v="18"/>
    <x v="1"/>
    <x v="1"/>
    <n v="128000"/>
    <n v="61000"/>
    <n v="67000"/>
    <n v="10050"/>
    <n v="56950"/>
    <n v="125000"/>
    <n v="3000"/>
    <n v="56950"/>
  </r>
  <r>
    <d v="2025-08-14T00:00:00"/>
    <x v="0"/>
    <x v="7"/>
    <x v="3"/>
    <x v="0"/>
    <x v="4"/>
    <x v="0"/>
    <x v="14"/>
    <x v="0"/>
    <x v="3"/>
    <n v="95000"/>
    <n v="48000"/>
    <n v="47000"/>
    <n v="7050"/>
    <n v="39950"/>
    <n v="93000"/>
    <n v="2000"/>
    <n v="39950"/>
  </r>
  <r>
    <d v="2025-08-15T00:00:00"/>
    <x v="0"/>
    <x v="7"/>
    <x v="0"/>
    <x v="2"/>
    <x v="0"/>
    <x v="5"/>
    <x v="6"/>
    <x v="1"/>
    <x v="0"/>
    <n v="135000"/>
    <n v="63000"/>
    <n v="72000"/>
    <n v="10800"/>
    <n v="61200"/>
    <n v="132000"/>
    <n v="3000"/>
    <n v="61200"/>
  </r>
  <r>
    <d v="2025-08-16T00:00:00"/>
    <x v="0"/>
    <x v="7"/>
    <x v="1"/>
    <x v="1"/>
    <x v="5"/>
    <x v="4"/>
    <x v="15"/>
    <x v="1"/>
    <x v="2"/>
    <n v="88000"/>
    <n v="39000"/>
    <n v="49000"/>
    <n v="7350"/>
    <n v="41650"/>
    <n v="86000"/>
    <n v="2000"/>
    <n v="41650"/>
  </r>
  <r>
    <d v="2025-08-17T00:00:00"/>
    <x v="0"/>
    <x v="7"/>
    <x v="2"/>
    <x v="3"/>
    <x v="3"/>
    <x v="3"/>
    <x v="3"/>
    <x v="1"/>
    <x v="1"/>
    <n v="92000"/>
    <n v="40000"/>
    <n v="52000"/>
    <n v="7800"/>
    <n v="44200"/>
    <n v="90000"/>
    <n v="2000"/>
    <n v="44200"/>
  </r>
  <r>
    <d v="2025-08-18T00:00:00"/>
    <x v="0"/>
    <x v="7"/>
    <x v="3"/>
    <x v="2"/>
    <x v="2"/>
    <x v="8"/>
    <x v="28"/>
    <x v="1"/>
    <x v="0"/>
    <n v="118000"/>
    <n v="54000"/>
    <n v="64000"/>
    <n v="9600"/>
    <n v="54400"/>
    <n v="116000"/>
    <n v="2000"/>
    <n v="54400"/>
  </r>
  <r>
    <d v="2025-08-19T00:00:00"/>
    <x v="0"/>
    <x v="7"/>
    <x v="0"/>
    <x v="0"/>
    <x v="1"/>
    <x v="6"/>
    <x v="17"/>
    <x v="0"/>
    <x v="0"/>
    <n v="90000"/>
    <n v="42000"/>
    <n v="48000"/>
    <n v="7200"/>
    <n v="40800"/>
    <n v="88000"/>
    <n v="2000"/>
    <n v="40800"/>
  </r>
  <r>
    <d v="2025-08-20T00:00:00"/>
    <x v="0"/>
    <x v="7"/>
    <x v="1"/>
    <x v="1"/>
    <x v="6"/>
    <x v="7"/>
    <x v="35"/>
    <x v="1"/>
    <x v="1"/>
    <n v="132000"/>
    <n v="64000"/>
    <n v="68000"/>
    <n v="10200"/>
    <n v="57800"/>
    <n v="130000"/>
    <n v="2000"/>
    <n v="57800"/>
  </r>
  <r>
    <d v="2025-09-21T00:00:00"/>
    <x v="0"/>
    <x v="8"/>
    <x v="2"/>
    <x v="2"/>
    <x v="0"/>
    <x v="5"/>
    <x v="26"/>
    <x v="1"/>
    <x v="0"/>
    <n v="140000"/>
    <n v="66000"/>
    <n v="74000"/>
    <n v="11100"/>
    <n v="62900"/>
    <n v="138000"/>
    <n v="2000"/>
    <n v="62900"/>
  </r>
  <r>
    <d v="2025-09-22T00:00:00"/>
    <x v="0"/>
    <x v="8"/>
    <x v="3"/>
    <x v="0"/>
    <x v="0"/>
    <x v="0"/>
    <x v="29"/>
    <x v="0"/>
    <x v="2"/>
    <n v="98000"/>
    <n v="45000"/>
    <n v="53000"/>
    <n v="7950"/>
    <n v="45050"/>
    <n v="96000"/>
    <n v="2000"/>
    <n v="45050"/>
  </r>
  <r>
    <d v="2025-09-23T00:00:00"/>
    <x v="0"/>
    <x v="8"/>
    <x v="0"/>
    <x v="1"/>
    <x v="5"/>
    <x v="4"/>
    <x v="25"/>
    <x v="1"/>
    <x v="2"/>
    <n v="91000"/>
    <n v="41000"/>
    <n v="50000"/>
    <n v="7500"/>
    <n v="42500"/>
    <n v="89000"/>
    <n v="2000"/>
    <n v="42500"/>
  </r>
  <r>
    <d v="2025-09-24T00:00:00"/>
    <x v="0"/>
    <x v="8"/>
    <x v="1"/>
    <x v="2"/>
    <x v="2"/>
    <x v="2"/>
    <x v="36"/>
    <x v="1"/>
    <x v="1"/>
    <n v="122000"/>
    <n v="56000"/>
    <n v="66000"/>
    <n v="9900"/>
    <n v="56100"/>
    <n v="120000"/>
    <n v="2000"/>
    <n v="56100"/>
  </r>
  <r>
    <d v="2025-09-25T00:00:00"/>
    <x v="0"/>
    <x v="8"/>
    <x v="2"/>
    <x v="3"/>
    <x v="3"/>
    <x v="3"/>
    <x v="40"/>
    <x v="1"/>
    <x v="1"/>
    <n v="94000"/>
    <n v="39000"/>
    <n v="55000"/>
    <n v="8250"/>
    <n v="46750"/>
    <n v="92000"/>
    <n v="2000"/>
    <n v="46750"/>
  </r>
  <r>
    <d v="2025-09-26T00:00:00"/>
    <x v="0"/>
    <x v="8"/>
    <x v="3"/>
    <x v="1"/>
    <x v="1"/>
    <x v="1"/>
    <x v="33"/>
    <x v="1"/>
    <x v="0"/>
    <n v="102000"/>
    <n v="47000"/>
    <n v="55000"/>
    <n v="8250"/>
    <n v="46750"/>
    <n v="100000"/>
    <n v="2000"/>
    <n v="46750"/>
  </r>
  <r>
    <d v="2025-09-27T00:00:00"/>
    <x v="0"/>
    <x v="8"/>
    <x v="0"/>
    <x v="0"/>
    <x v="4"/>
    <x v="0"/>
    <x v="24"/>
    <x v="0"/>
    <x v="3"/>
    <n v="96000"/>
    <n v="49000"/>
    <n v="47000"/>
    <n v="7050"/>
    <n v="39950"/>
    <n v="94000"/>
    <n v="2000"/>
    <n v="39950"/>
  </r>
  <r>
    <d v="2025-09-28T00:00:00"/>
    <x v="0"/>
    <x v="8"/>
    <x v="1"/>
    <x v="2"/>
    <x v="0"/>
    <x v="5"/>
    <x v="16"/>
    <x v="1"/>
    <x v="0"/>
    <n v="145000"/>
    <n v="68000"/>
    <n v="77000"/>
    <n v="11550"/>
    <n v="65450"/>
    <n v="142000"/>
    <n v="3000"/>
    <n v="65450"/>
  </r>
  <r>
    <d v="2025-09-29T00:00:00"/>
    <x v="0"/>
    <x v="8"/>
    <x v="2"/>
    <x v="1"/>
    <x v="6"/>
    <x v="7"/>
    <x v="34"/>
    <x v="1"/>
    <x v="1"/>
    <n v="136000"/>
    <n v="65000"/>
    <n v="71000"/>
    <n v="10650"/>
    <n v="60350"/>
    <n v="134000"/>
    <n v="2000"/>
    <n v="60350"/>
  </r>
  <r>
    <d v="2025-09-30T00:00:00"/>
    <x v="0"/>
    <x v="8"/>
    <x v="3"/>
    <x v="0"/>
    <x v="1"/>
    <x v="6"/>
    <x v="7"/>
    <x v="0"/>
    <x v="0"/>
    <n v="93000"/>
    <n v="43000"/>
    <n v="50000"/>
    <n v="7500"/>
    <n v="42500"/>
    <n v="91000"/>
    <n v="2000"/>
    <n v="42500"/>
  </r>
  <r>
    <d v="2025-10-01T00:00:00"/>
    <x v="0"/>
    <x v="9"/>
    <x v="0"/>
    <x v="2"/>
    <x v="2"/>
    <x v="8"/>
    <x v="9"/>
    <x v="1"/>
    <x v="1"/>
    <n v="126000"/>
    <n v="58000"/>
    <n v="68000"/>
    <n v="10200"/>
    <n v="57800"/>
    <n v="124000"/>
    <n v="2000"/>
    <n v="57800"/>
  </r>
  <r>
    <d v="2025-10-02T00:00:00"/>
    <x v="0"/>
    <x v="9"/>
    <x v="1"/>
    <x v="1"/>
    <x v="5"/>
    <x v="4"/>
    <x v="5"/>
    <x v="1"/>
    <x v="2"/>
    <n v="94000"/>
    <n v="42000"/>
    <n v="52000"/>
    <n v="7800"/>
    <n v="44200"/>
    <n v="92000"/>
    <n v="2000"/>
    <n v="44200"/>
  </r>
  <r>
    <d v="2025-10-03T00:00:00"/>
    <x v="0"/>
    <x v="9"/>
    <x v="2"/>
    <x v="0"/>
    <x v="0"/>
    <x v="0"/>
    <x v="39"/>
    <x v="0"/>
    <x v="2"/>
    <n v="99000"/>
    <n v="46000"/>
    <n v="53000"/>
    <n v="7950"/>
    <n v="45050"/>
    <n v="97000"/>
    <n v="2000"/>
    <n v="45050"/>
  </r>
  <r>
    <d v="2025-10-04T00:00:00"/>
    <x v="0"/>
    <x v="9"/>
    <x v="3"/>
    <x v="2"/>
    <x v="0"/>
    <x v="5"/>
    <x v="26"/>
    <x v="1"/>
    <x v="0"/>
    <n v="150000"/>
    <n v="70000"/>
    <n v="80000"/>
    <n v="12000"/>
    <n v="68000"/>
    <n v="148000"/>
    <n v="2000"/>
    <n v="68000"/>
  </r>
  <r>
    <d v="2025-10-05T00:00:00"/>
    <x v="0"/>
    <x v="9"/>
    <x v="0"/>
    <x v="3"/>
    <x v="3"/>
    <x v="3"/>
    <x v="3"/>
    <x v="1"/>
    <x v="1"/>
    <n v="98000"/>
    <n v="42000"/>
    <n v="56000"/>
    <n v="8400"/>
    <n v="47600"/>
    <n v="96000"/>
    <n v="2000"/>
    <n v="47600"/>
  </r>
  <r>
    <d v="2025-10-06T00:00:00"/>
    <x v="0"/>
    <x v="9"/>
    <x v="1"/>
    <x v="0"/>
    <x v="4"/>
    <x v="0"/>
    <x v="32"/>
    <x v="0"/>
    <x v="3"/>
    <n v="97000"/>
    <n v="48000"/>
    <n v="49000"/>
    <n v="7350"/>
    <n v="41650"/>
    <n v="95000"/>
    <n v="2000"/>
    <n v="41650"/>
  </r>
  <r>
    <d v="2025-10-07T00:00:00"/>
    <x v="0"/>
    <x v="9"/>
    <x v="2"/>
    <x v="1"/>
    <x v="1"/>
    <x v="1"/>
    <x v="38"/>
    <x v="1"/>
    <x v="0"/>
    <n v="105000"/>
    <n v="49000"/>
    <n v="56000"/>
    <n v="8400"/>
    <n v="47600"/>
    <n v="103000"/>
    <n v="2000"/>
    <n v="47600"/>
  </r>
  <r>
    <d v="2025-10-08T00:00:00"/>
    <x v="0"/>
    <x v="9"/>
    <x v="3"/>
    <x v="2"/>
    <x v="2"/>
    <x v="2"/>
    <x v="31"/>
    <x v="1"/>
    <x v="1"/>
    <n v="132000"/>
    <n v="62000"/>
    <n v="70000"/>
    <n v="10500"/>
    <n v="59500"/>
    <n v="130000"/>
    <n v="2000"/>
    <n v="59500"/>
  </r>
  <r>
    <d v="2025-10-09T00:00:00"/>
    <x v="0"/>
    <x v="9"/>
    <x v="0"/>
    <x v="0"/>
    <x v="0"/>
    <x v="0"/>
    <x v="29"/>
    <x v="0"/>
    <x v="2"/>
    <n v="95000"/>
    <n v="44000"/>
    <n v="51000"/>
    <n v="7650"/>
    <n v="43350"/>
    <n v="93000"/>
    <n v="2000"/>
    <n v="43350"/>
  </r>
  <r>
    <d v="2025-10-10T00:00:00"/>
    <x v="0"/>
    <x v="9"/>
    <x v="1"/>
    <x v="1"/>
    <x v="6"/>
    <x v="7"/>
    <x v="27"/>
    <x v="1"/>
    <x v="1"/>
    <n v="140000"/>
    <n v="67000"/>
    <n v="73000"/>
    <n v="10950"/>
    <n v="62050"/>
    <n v="138000"/>
    <n v="2000"/>
    <n v="620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A5A34B-4684-47D7-9770-703B0188888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A7:BD19" firstHeaderRow="1" firstDataRow="2"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axis="axisCol" showAll="0">
      <items count="3">
        <item x="1"/>
        <item x="0"/>
        <item t="default"/>
      </items>
    </pivotField>
    <pivotField showAll="0">
      <items count="5">
        <item x="1"/>
        <item x="3"/>
        <item x="0"/>
        <item x="2"/>
        <item t="default"/>
      </items>
    </pivotField>
    <pivotField dataField="1"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8"/>
  </colFields>
  <colItems count="3">
    <i>
      <x/>
    </i>
    <i>
      <x v="1"/>
    </i>
    <i t="grand">
      <x/>
    </i>
  </colItems>
  <dataFields count="1">
    <dataField name="Sum of Revenue" fld="10" baseField="2" baseItem="0" numFmtId="42"/>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E86C2-8BD1-42B1-B645-E0346B0503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2:C13" firstHeaderRow="0"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Sum of Budget" fld="15" baseField="0" baseItem="0"/>
    <dataField name="Sum of Revenue" fld="10" baseField="0" baseItem="0"/>
  </dataFields>
  <formats count="1">
    <format dxfId="1">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955F87-5C6B-4589-BB77-2EC3432D5D1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35:AD46" firstHeaderRow="0"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dataField="1"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Revenue" fld="10" baseField="0" baseItem="0"/>
    <dataField name="Sum of NetProfit" fld="1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A1761-46D5-445A-90A2-B58892F4764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A25:BD31" firstHeaderRow="1" firstDataRow="2"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axis="axisRow"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axis="axisCol" showAll="0">
      <items count="3">
        <item x="1"/>
        <item x="0"/>
        <item t="default"/>
      </items>
    </pivotField>
    <pivotField showAll="0">
      <items count="5">
        <item x="1"/>
        <item x="3"/>
        <item x="0"/>
        <item x="2"/>
        <item t="default"/>
      </items>
    </pivotField>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Fields count="1">
    <field x="8"/>
  </colFields>
  <colItems count="3">
    <i>
      <x/>
    </i>
    <i>
      <x v="1"/>
    </i>
    <i t="grand">
      <x/>
    </i>
  </colItems>
  <dataFields count="1">
    <dataField name="Sum of NetProfit" fld="14" baseField="3" baseItem="0" numFmtId="42"/>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54ECB0-682B-41D9-A76A-1B72B6A9B351}" name="rev_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6:P18" firstHeaderRow="1" firstDataRow="2"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axis="axisCol"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Revenue" fld="10" baseField="0" baseItem="0"/>
  </dataFields>
  <chartFormats count="22">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2">
          <reference field="4294967294" count="1" selected="0">
            <x v="0"/>
          </reference>
          <reference field="3" count="1" selected="0">
            <x v="2"/>
          </reference>
        </references>
      </pivotArea>
    </chartFormat>
    <chartFormat chart="7" format="11" series="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3">
          <reference field="4294967294" count="1" selected="0">
            <x v="0"/>
          </reference>
          <reference field="2" count="1" selected="0">
            <x v="0"/>
          </reference>
          <reference field="3" count="1" selected="0">
            <x v="3"/>
          </reference>
        </references>
      </pivotArea>
    </chartFormat>
    <chartFormat chart="7" format="13">
      <pivotArea type="data" outline="0" fieldPosition="0">
        <references count="3">
          <reference field="4294967294" count="1" selected="0">
            <x v="0"/>
          </reference>
          <reference field="2" count="1" selected="0">
            <x v="1"/>
          </reference>
          <reference field="3" count="1" selected="0">
            <x v="3"/>
          </reference>
        </references>
      </pivotArea>
    </chartFormat>
    <chartFormat chart="7" format="14">
      <pivotArea type="data" outline="0" fieldPosition="0">
        <references count="3">
          <reference field="4294967294" count="1" selected="0">
            <x v="0"/>
          </reference>
          <reference field="2" count="1" selected="0">
            <x v="2"/>
          </reference>
          <reference field="3" count="1" selected="0">
            <x v="3"/>
          </reference>
        </references>
      </pivotArea>
    </chartFormat>
    <chartFormat chart="7" format="15">
      <pivotArea type="data" outline="0" fieldPosition="0">
        <references count="3">
          <reference field="4294967294" count="1" selected="0">
            <x v="0"/>
          </reference>
          <reference field="2" count="1" selected="0">
            <x v="3"/>
          </reference>
          <reference field="3" count="1" selected="0">
            <x v="3"/>
          </reference>
        </references>
      </pivotArea>
    </chartFormat>
    <chartFormat chart="7" format="16">
      <pivotArea type="data" outline="0" fieldPosition="0">
        <references count="3">
          <reference field="4294967294" count="1" selected="0">
            <x v="0"/>
          </reference>
          <reference field="2" count="1" selected="0">
            <x v="4"/>
          </reference>
          <reference field="3" count="1" selected="0">
            <x v="3"/>
          </reference>
        </references>
      </pivotArea>
    </chartFormat>
    <chartFormat chart="7" format="17">
      <pivotArea type="data" outline="0" fieldPosition="0">
        <references count="3">
          <reference field="4294967294" count="1" selected="0">
            <x v="0"/>
          </reference>
          <reference field="2" count="1" selected="0">
            <x v="5"/>
          </reference>
          <reference field="3" count="1" selected="0">
            <x v="3"/>
          </reference>
        </references>
      </pivotArea>
    </chartFormat>
    <chartFormat chart="7" format="18">
      <pivotArea type="data" outline="0" fieldPosition="0">
        <references count="3">
          <reference field="4294967294" count="1" selected="0">
            <x v="0"/>
          </reference>
          <reference field="2" count="1" selected="0">
            <x v="6"/>
          </reference>
          <reference field="3" count="1" selected="0">
            <x v="3"/>
          </reference>
        </references>
      </pivotArea>
    </chartFormat>
    <chartFormat chart="7" format="19">
      <pivotArea type="data" outline="0" fieldPosition="0">
        <references count="3">
          <reference field="4294967294" count="1" selected="0">
            <x v="0"/>
          </reference>
          <reference field="2" count="1" selected="0">
            <x v="7"/>
          </reference>
          <reference field="3" count="1" selected="0">
            <x v="3"/>
          </reference>
        </references>
      </pivotArea>
    </chartFormat>
    <chartFormat chart="7" format="20">
      <pivotArea type="data" outline="0" fieldPosition="0">
        <references count="3">
          <reference field="4294967294" count="1" selected="0">
            <x v="0"/>
          </reference>
          <reference field="2" count="1" selected="0">
            <x v="8"/>
          </reference>
          <reference field="3" count="1" selected="0">
            <x v="3"/>
          </reference>
        </references>
      </pivotArea>
    </chartFormat>
    <chartFormat chart="7" format="21">
      <pivotArea type="data" outline="0" fieldPosition="0">
        <references count="3">
          <reference field="4294967294" count="1" selected="0">
            <x v="0"/>
          </reference>
          <reference field="2" count="1" selected="0">
            <x v="9"/>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30944-73BE-4537-9EF0-34CE6DB2E3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B21"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Revenue" fld="10" baseField="0" baseItem="0" numFmtId="42"/>
  </dataFields>
  <formats count="1">
    <format dxfId="2">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8B6A42-6642-4356-901C-33D4813FEBA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N7:AO12"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axis="axisRow"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Variance" fld="16" baseField="5" baseItem="3"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A208A0-1B8F-4473-9105-86624443E7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24:Y32"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axis="axisRow"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Sum of Expense" fld="11" baseField="5" baseItem="1"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A79933-C03A-48DC-8158-42245A6FA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8:B9"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NetProfit" fld="14" baseField="0" baseItem="0" numFmtId="42"/>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46AA3B-7613-440C-9219-9C728040FCDE}"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4:B35"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Budget" fld="15" baseField="0" baseItem="0" numFmtId="4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0911AA-1E3E-48CD-AC8B-74E0FB7F7D18}"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8:B29"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Expense" fld="11"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B866B7-EE18-4ECE-9A8D-1A3260A019B4}"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B41"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Typ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C3C2EF-BF21-4D14-ACC4-C85EDB9083FA}"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1:B32"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NetProfit" fld="14" baseField="0" baseItem="0" numFmtId="4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27CF3A-A67F-4FF5-BA43-3465EE6317E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S35:AU46" firstHeaderRow="0"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items count="5">
        <item x="1"/>
        <item x="3"/>
        <item x="0"/>
        <item x="2"/>
        <item t="default"/>
      </items>
    </pivotField>
    <pivotField showAll="0"/>
    <pivotField showAll="0"/>
    <pivotField showAll="0"/>
    <pivotField showAll="0"/>
    <pivotField dataField="1" showAll="0"/>
    <pivotField showAll="0"/>
    <pivotField showAll="0"/>
    <pivotField dataField="1"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NetProfit" fld="14" baseField="2" baseItem="2" numFmtId="42"/>
    <dataField name="Sum of CashFlow" fld="17" baseField="2" baseItem="3" numFmtId="4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B26BD1-C018-40CC-B88A-4D9523FBE8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5" firstHeaderRow="0"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Revenue" fld="10" baseField="0" baseItem="1" numFmtId="42"/>
    <dataField name="Sum of Expense" fld="11" baseField="0" baseItem="0" numFmtId="42"/>
  </dataFields>
  <formats count="1">
    <format dxfId="6">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9678F0-F297-4A7B-A1F1-FB570A7032B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J24:AK32"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axis="axisRow"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s>
  <rowFields count="1">
    <field x="5"/>
  </rowFields>
  <rowItems count="8">
    <i>
      <x/>
    </i>
    <i>
      <x v="1"/>
    </i>
    <i>
      <x v="2"/>
    </i>
    <i>
      <x v="3"/>
    </i>
    <i>
      <x v="4"/>
    </i>
    <i>
      <x v="5"/>
    </i>
    <i>
      <x v="6"/>
    </i>
    <i t="grand">
      <x/>
    </i>
  </rowItems>
  <colItems count="1">
    <i/>
  </colItems>
  <dataFields count="1">
    <dataField name="Sum of Variance" fld="16" baseField="5" baseItem="3"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CC0365B-0E94-43A7-BFDA-46E417B4BE86}"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7:B38"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CashFlow" fld="17" baseField="0" baseItem="0" numFmtId="4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4D9535-BCFA-4EFE-A1A0-8838E8B69CF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7:AC18" firstHeaderRow="1"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NetProfit" fld="14" baseField="2" baseItem="3"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430D3C2-B6C9-4A33-8A14-037B306F9B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6:B17"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CashFlow" fld="17" baseField="0" baseItem="0" numFmtId="42"/>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20C2394-4E79-46B3-8B20-EC4C9E6F2D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5:H38"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Revenue" fld="10" baseField="8" baseItem="1" numFmtId="42"/>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335885F-E384-432B-A4DC-5B49108FEA8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J38:AK49" firstHeaderRow="1"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Average of Variance" fld="16" subtotal="average" baseField="2" baseItem="4"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E3C16D7-489C-4409-A3AC-11C0267C68F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V7:AW12"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axis="axisRow"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CashFlow" fld="17" baseField="3" baseItem="2"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8FBD4D5-6E54-49CA-8388-7C51B7FA691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1:L51"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axis="axisRow"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Sum of Revenue" fld="10" baseField="6" baseItem="3" numFmtId="42"/>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CE4B953-7D55-45DC-A741-273D1263A1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X38:Z49" firstHeaderRow="0"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Expense" fld="11" baseField="2" baseItem="0" numFmtId="42"/>
    <dataField name="Sum of Revenue" fld="10" baseField="2" baseItem="0" numFmtId="4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1C73120-9E9A-430B-93A1-BF10096DE1D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S18:AT29" firstHeaderRow="1"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Items count="1">
    <i/>
  </colItems>
  <dataFields count="1">
    <dataField name="Sum of CashFlow" fld="17" baseField="2" baseItem="1"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45F019F-AE0C-4471-AC23-592523531B7A}"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S7:AT12"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axis="axisRow" showAll="0">
      <items count="5">
        <item x="1"/>
        <item x="3"/>
        <item x="0"/>
        <item x="2"/>
        <item t="default"/>
      </items>
    </pivotField>
    <pivotField showAll="0"/>
    <pivotField showAll="0"/>
    <pivotField showAll="0"/>
    <pivotField showAll="0"/>
    <pivotField showAll="0"/>
    <pivotField showAll="0"/>
    <pivotField showAll="0"/>
    <pivotField dataField="1" showAll="0"/>
  </pivotFields>
  <rowFields count="1">
    <field x="9"/>
  </rowFields>
  <rowItems count="5">
    <i>
      <x/>
    </i>
    <i>
      <x v="1"/>
    </i>
    <i>
      <x v="2"/>
    </i>
    <i>
      <x v="3"/>
    </i>
    <i t="grand">
      <x/>
    </i>
  </rowItems>
  <colItems count="1">
    <i/>
  </colItems>
  <dataFields count="1">
    <dataField name="Sum of CashFlow" fld="17" baseField="9" baseItem="1"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022894C-BF79-4C2A-B13C-1AB8DF70591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J7:AL18" firstHeaderRow="0"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Budget" fld="15" baseField="2" baseItem="4" numFmtId="42"/>
    <dataField name="Sum of Revenue" fld="10" baseField="2" baseItem="2" numFmtId="42"/>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EAFF941-0A67-4489-BBCE-74054E1107E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24:AC29"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axis="axisRow"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Average of NetProfit" fld="14" subtotal="average" baseField="3" baseItem="2"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81B7893-E5BC-4C6B-9A6D-746486A5A34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K24:O35" firstHeaderRow="1" firstDataRow="2"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axis="axisCol"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x v="9"/>
    </i>
  </rowItems>
  <colFields count="1">
    <field x="4"/>
  </colFields>
  <colItems count="4">
    <i>
      <x/>
    </i>
    <i>
      <x v="1"/>
    </i>
    <i>
      <x v="2"/>
    </i>
    <i>
      <x v="3"/>
    </i>
  </colItems>
  <dataFields count="1">
    <dataField name="Sum of Revenue" fld="10" showDataAs="percentOfRow" baseField="2" baseItem="0" numFmtId="9"/>
  </dataFields>
  <chartFormats count="2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2">
          <reference field="4294967294" count="1" selected="0">
            <x v="0"/>
          </reference>
          <reference field="4" count="1" selected="0">
            <x v="2"/>
          </reference>
        </references>
      </pivotArea>
    </chartFormat>
    <chartFormat chart="2" format="7"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 chart="5" format="12" series="1">
      <pivotArea type="data" outline="0" fieldPosition="0">
        <references count="2">
          <reference field="4294967294" count="1" selected="0">
            <x v="0"/>
          </reference>
          <reference field="4" count="1" selected="0">
            <x v="0"/>
          </reference>
        </references>
      </pivotArea>
    </chartFormat>
    <chartFormat chart="5" format="13" series="1">
      <pivotArea type="data" outline="0" fieldPosition="0">
        <references count="2">
          <reference field="4294967294" count="1" selected="0">
            <x v="0"/>
          </reference>
          <reference field="4" count="1" selected="0">
            <x v="1"/>
          </reference>
        </references>
      </pivotArea>
    </chartFormat>
    <chartFormat chart="5" format="14" series="1">
      <pivotArea type="data" outline="0" fieldPosition="0">
        <references count="2">
          <reference field="4294967294" count="1" selected="0">
            <x v="0"/>
          </reference>
          <reference field="4" count="1" selected="0">
            <x v="2"/>
          </reference>
        </references>
      </pivotArea>
    </chartFormat>
    <chartFormat chart="5" format="15" series="1">
      <pivotArea type="data" outline="0" fieldPosition="0">
        <references count="2">
          <reference field="4294967294" count="1" selected="0">
            <x v="0"/>
          </reference>
          <reference field="4"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906250C-5B12-4F31-85D0-8A5AA474ED71}"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F7:BG10"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axis="axisRow" showAll="0">
      <items count="3">
        <item x="1"/>
        <item x="0"/>
        <item t="default"/>
      </items>
    </pivotField>
    <pivotField showAll="0">
      <items count="5">
        <item x="1"/>
        <item x="3"/>
        <item x="0"/>
        <item x="2"/>
        <item t="default"/>
      </items>
    </pivotField>
    <pivotField showAll="0"/>
    <pivotField dataField="1"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xpense" fld="11" baseField="8" baseItem="0" numFmtId="42"/>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B8440F3-BBF6-44C8-B812-0CCC757D316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E7:AG12" firstHeaderRow="0"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axis="axisRow"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Revenue" fld="10" baseField="3" baseItem="1" numFmtId="42"/>
    <dataField name="Sum of NetProfit" fld="14" baseField="3" baseItem="2" numFmtId="4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8D18BE4-8C1A-4EC9-A9DA-1976BDB79286}"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A38:BB41"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axis="axisRow" showAll="0">
      <items count="3">
        <item x="1"/>
        <item x="0"/>
        <item t="default"/>
      </items>
    </pivotField>
    <pivotField showAll="0">
      <items count="5">
        <item x="1"/>
        <item x="3"/>
        <item x="0"/>
        <item x="2"/>
        <item t="default"/>
      </items>
    </pivotField>
    <pivotField dataField="1"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Average of Revenue" fld="10" subtotal="average" baseField="8" baseItem="0"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7305A97-27DF-42BE-A76A-ED88EA1A023F}"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5:B26" firstHeaderRow="1" firstDataRow="1" firstDataCol="0"/>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Revenue" fld="10"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A45FEFBA-90B2-478E-B938-723765867B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7:V50" firstHeaderRow="1" firstDataRow="1" firstDataCol="1"/>
  <pivotFields count="18">
    <pivotField numFmtId="14" showAll="0"/>
    <pivotField showAll="0">
      <items count="2">
        <item x="0"/>
        <item t="default"/>
      </items>
    </pivotField>
    <pivotField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axis="axisRow" showAll="0">
      <items count="43">
        <item x="1"/>
        <item x="34"/>
        <item x="8"/>
        <item x="17"/>
        <item x="33"/>
        <item x="36"/>
        <item x="2"/>
        <item x="3"/>
        <item x="18"/>
        <item x="16"/>
        <item x="6"/>
        <item x="22"/>
        <item x="20"/>
        <item x="11"/>
        <item x="39"/>
        <item x="25"/>
        <item x="21"/>
        <item x="12"/>
        <item x="14"/>
        <item x="13"/>
        <item x="0"/>
        <item x="19"/>
        <item x="26"/>
        <item x="30"/>
        <item x="32"/>
        <item x="38"/>
        <item x="7"/>
        <item x="24"/>
        <item x="15"/>
        <item x="40"/>
        <item x="29"/>
        <item x="35"/>
        <item x="27"/>
        <item x="9"/>
        <item x="31"/>
        <item x="23"/>
        <item x="37"/>
        <item x="5"/>
        <item x="10"/>
        <item x="28"/>
        <item x="4"/>
        <item x="41"/>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s>
  <rowFields count="1">
    <field x="7"/>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Expense" fld="11" showDataAs="percentOfTotal" baseField="7" baseItem="1"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C16AF31-DE30-45CA-8E4F-5A92B43283D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7:Y18" firstHeaderRow="1" firstDataRow="1" firstDataCol="1"/>
  <pivotFields count="18">
    <pivotField numFmtId="14" showAll="0"/>
    <pivotField showAll="0">
      <items count="2">
        <item x="0"/>
        <item t="default"/>
      </items>
    </pivotField>
    <pivotField axis="axisRow" showAll="0">
      <items count="11">
        <item x="0"/>
        <item x="1"/>
        <item x="2"/>
        <item x="3"/>
        <item x="4"/>
        <item x="5"/>
        <item x="6"/>
        <item x="7"/>
        <item x="8"/>
        <item x="9"/>
        <item t="default"/>
      </items>
    </pivotField>
    <pivotField showAll="0">
      <items count="5">
        <item x="2"/>
        <item x="0"/>
        <item x="1"/>
        <item x="3"/>
        <item t="default"/>
      </items>
    </pivotField>
    <pivotField showAll="0">
      <items count="5">
        <item x="1"/>
        <item x="3"/>
        <item x="0"/>
        <item x="2"/>
        <item t="default"/>
      </items>
    </pivotField>
    <pivotField showAll="0">
      <items count="8">
        <item x="3"/>
        <item x="6"/>
        <item x="5"/>
        <item x="2"/>
        <item x="1"/>
        <item x="4"/>
        <item x="0"/>
        <item t="default"/>
      </items>
    </pivotField>
    <pivotField showAll="0">
      <items count="10">
        <item x="6"/>
        <item x="4"/>
        <item x="3"/>
        <item x="7"/>
        <item x="8"/>
        <item x="0"/>
        <item x="5"/>
        <item x="1"/>
        <item x="2"/>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Expense"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3689A3-BA68-486C-9CC8-059A05E70033}" sourceName="Year">
  <pivotTables>
    <pivotTable tabId="2" name="PivotTable1"/>
    <pivotTable tabId="2" name="PivotTable2"/>
    <pivotTable tabId="2" name="PivotTable3"/>
    <pivotTable tabId="2" name="PivotTable4"/>
    <pivotTable tabId="2" name="PivotTable5"/>
    <pivotTable tabId="2" name="rev_1"/>
    <pivotTable tabId="2" name="PivotTable7"/>
    <pivotTable tabId="2" name="PivotTable8"/>
    <pivotTable tabId="2" name="PivotTable9"/>
    <pivotTable tabId="2" name="PivotTable10"/>
    <pivotTable tabId="2" name="PivotTable11"/>
    <pivotTable tabId="2" name="PivotTable12"/>
    <pivotTable tabId="2" name="PivotTable6"/>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4"/>
  </pivotTables>
  <data>
    <tabular pivotCacheId="2013062817">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EB17E33-BFCC-4CEF-9AC7-10EA7B49FC24}" sourceName="Month">
  <pivotTables>
    <pivotTable tabId="2" name="PivotTable1"/>
    <pivotTable tabId="2" name="PivotTable2"/>
    <pivotTable tabId="2" name="PivotTable3"/>
    <pivotTable tabId="2" name="PivotTable4"/>
    <pivotTable tabId="2" name="PivotTable5"/>
    <pivotTable tabId="2" name="rev_1"/>
    <pivotTable tabId="2" name="PivotTable7"/>
    <pivotTable tabId="2" name="PivotTable8"/>
    <pivotTable tabId="2" name="PivotTable9"/>
    <pivotTable tabId="2" name="PivotTable10"/>
    <pivotTable tabId="2" name="PivotTable11"/>
    <pivotTable tabId="2" name="PivotTable12"/>
    <pivotTable tabId="2" name="PivotTable6"/>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4"/>
  </pivotTables>
  <data>
    <tabular pivotCacheId="2013062817">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41D894-4C06-463D-B7DC-E2CE15E14EF5}" sourceName="Region">
  <pivotTables>
    <pivotTable tabId="2" name="PivotTable1"/>
    <pivotTable tabId="2" name="PivotTable2"/>
    <pivotTable tabId="2" name="PivotTable3"/>
    <pivotTable tabId="2" name="PivotTable4"/>
    <pivotTable tabId="2" name="PivotTable5"/>
    <pivotTable tabId="2" name="rev_1"/>
    <pivotTable tabId="2" name="PivotTable7"/>
    <pivotTable tabId="2" name="PivotTable8"/>
    <pivotTable tabId="2" name="PivotTable9"/>
    <pivotTable tabId="2" name="PivotTable10"/>
    <pivotTable tabId="2" name="PivotTable11"/>
    <pivotTable tabId="2" name="PivotTable12"/>
    <pivotTable tabId="2" name="PivotTable6"/>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4"/>
  </pivotTables>
  <data>
    <tabular pivotCacheId="2013062817">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1F28BBA5-9D09-4216-B889-F7A566437849}" sourceName="BusinessUnit">
  <pivotTables>
    <pivotTable tabId="2" name="PivotTable1"/>
    <pivotTable tabId="2" name="PivotTable2"/>
    <pivotTable tabId="2" name="PivotTable3"/>
    <pivotTable tabId="2" name="PivotTable4"/>
    <pivotTable tabId="2" name="PivotTable5"/>
    <pivotTable tabId="2" name="rev_1"/>
    <pivotTable tabId="2" name="PivotTable7"/>
    <pivotTable tabId="2" name="PivotTable8"/>
    <pivotTable tabId="2" name="PivotTable9"/>
    <pivotTable tabId="2" name="PivotTable10"/>
    <pivotTable tabId="2" name="PivotTable11"/>
    <pivotTable tabId="2" name="PivotTable12"/>
    <pivotTable tabId="2" name="PivotTable6"/>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4"/>
  </pivotTables>
  <data>
    <tabular pivotCacheId="2013062817">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EC0C6DB-0A3B-400B-BFD2-6835C808D2E4}" sourceName="Department">
  <pivotTables>
    <pivotTable tabId="2" name="PivotTable1"/>
    <pivotTable tabId="2" name="PivotTable2"/>
    <pivotTable tabId="2" name="PivotTable3"/>
    <pivotTable tabId="2" name="PivotTable4"/>
    <pivotTable tabId="2" name="PivotTable5"/>
    <pivotTable tabId="2" name="rev_1"/>
    <pivotTable tabId="2" name="PivotTable7"/>
    <pivotTable tabId="2" name="PivotTable8"/>
    <pivotTable tabId="2" name="PivotTable9"/>
    <pivotTable tabId="2" name="PivotTable10"/>
    <pivotTable tabId="2" name="PivotTable11"/>
    <pivotTable tabId="2" name="PivotTable12"/>
    <pivotTable tabId="2" name="PivotTable6"/>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4"/>
  </pivotTables>
  <data>
    <tabular pivotCacheId="2013062817">
      <items count="7">
        <i x="3" s="1"/>
        <i x="6" s="1"/>
        <i x="5" s="1"/>
        <i x="2" s="1"/>
        <i x="1"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8543B323-E7B3-44DD-8212-4C6F255125AD}" sourceName="CustomerType">
  <pivotTables>
    <pivotTable tabId="2" name="PivotTable1"/>
    <pivotTable tabId="2" name="PivotTable2"/>
    <pivotTable tabId="2" name="PivotTable3"/>
    <pivotTable tabId="2" name="PivotTable4"/>
    <pivotTable tabId="2" name="PivotTable5"/>
    <pivotTable tabId="2" name="rev_1"/>
    <pivotTable tabId="2" name="PivotTable7"/>
    <pivotTable tabId="2" name="PivotTable8"/>
    <pivotTable tabId="2" name="PivotTable9"/>
    <pivotTable tabId="2" name="PivotTable10"/>
    <pivotTable tabId="2" name="PivotTable11"/>
    <pivotTable tabId="2" name="PivotTable12"/>
    <pivotTable tabId="2" name="PivotTable6"/>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4"/>
  </pivotTables>
  <data>
    <tabular pivotCacheId="201306281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4395FC-0410-45E2-A227-6761AAAA5452}" cache="Slicer_Year" caption="Year" rowHeight="241300"/>
  <slicer name="Month" xr10:uid="{4FC9D52A-52E5-4EDA-B179-27C33FF426B0}" cache="Slicer_Month" caption="Month" rowHeight="241300"/>
  <slicer name="Region" xr10:uid="{10101330-582B-4848-8CA2-C58EF3C6628E}" cache="Slicer_Region" caption="Region" rowHeight="241300"/>
  <slicer name="BusinessUnit" xr10:uid="{48CFBFD2-89B0-40A2-B116-2291FD731B13}" cache="Slicer_BusinessUnit" caption="BusinessUnit" rowHeight="241300"/>
  <slicer name="Department" xr10:uid="{F145A217-291A-41EF-98A4-78BCEA2B5A3B}" cache="Slicer_Department" caption="Department" rowHeight="241300"/>
  <slicer name="CustomerType" xr10:uid="{956BA183-6AFC-4CB0-ABF3-D4A8DD7BAB73}" cache="Slicer_CustomerType" caption="Customer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8" xr10:uid="{6AFB37DD-9105-498B-B5E6-94B9CA1AEFEC}" cache="Slicer_Year" caption="Year" style="SlicerStyleOther2" rowHeight="241300"/>
  <slicer name="Month 8" xr10:uid="{B6C8A48F-62D8-4AEB-8EE6-407D827E6D06}" cache="Slicer_Month" caption="Month" style="SlicerStyleOther2" rowHeight="216000"/>
  <slicer name="Region 8" xr10:uid="{0A13D447-8972-445E-B225-469BDAEB5074}" cache="Slicer_Region" caption="Region" columnCount="2" style="SlicerStyleOther2" rowHeight="241300"/>
  <slicer name="BusinessUnit 1" xr10:uid="{15151BCC-9607-4DCD-94AB-398AAE3ADAC4}" cache="Slicer_BusinessUnit" caption="BusinessUnit" style="SlicerStyleOther2" rowHeight="241300"/>
  <slicer name="Department 1" xr10:uid="{42AAF213-5331-4CB1-A875-27E1333DE801}" cache="Slicer_Department" caption="Department" style="SlicerStyleOther2" rowHeight="241300"/>
  <slicer name="CustomerType 1" xr10:uid="{7574A9E9-74C6-4D57-BA03-2627ED04C714}" cache="Slicer_CustomerType" caption="CustomerType"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AA6A8F8-7E26-47FA-A60B-19EC74631850}" cache="Slicer_Year" caption="Year" style="SlicerStyleOther2" rowHeight="241300"/>
  <slicer name="Month 2" xr10:uid="{28B37A23-CD71-4270-A90F-931AD0EDB550}" cache="Slicer_Month" caption="Month" style="SlicerStyleOther2" rowHeight="252000"/>
  <slicer name="Region 2" xr10:uid="{1547C4F4-E7A6-47F4-BA19-455EADEF3D4A}" cache="Slicer_Region" caption="Region" columnCount="2" style="SlicerStyleOther2" rowHeight="241300"/>
  <slicer name="BusinessUnit 2" xr10:uid="{C5838FD3-F18C-4FEF-B98B-0D6D751F1402}" cache="Slicer_BusinessUnit" caption="BusinessUnit" style="SlicerStyleOther2" rowHeight="241300"/>
  <slicer name="Department 2" xr10:uid="{57A4E9C3-1161-49FD-9960-6BFCF5B6374D}" cache="Slicer_Department" caption="Department" style="SlicerStyleOther2" rowHeight="241300"/>
  <slicer name="CustomerType 2" xr10:uid="{168ECBA6-DE03-49EA-8060-CACCB6DEEAE9}" cache="Slicer_CustomerType" caption="CustomerType" style="SlicerStyleOther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579E9EC-D33E-430B-8B1F-EF3EA2BC30F7}" cache="Slicer_Year" caption="Year" style="SlicerStyleOther2" rowHeight="241300"/>
  <slicer name="Month 3" xr10:uid="{7472E742-A589-4885-9BA1-982C884E0EE5}" cache="Slicer_Month" caption="Month" style="SlicerStyleOther2" rowHeight="252000"/>
  <slicer name="Region 3" xr10:uid="{1FBBE698-FE02-48BB-8B6A-AE94D0A0D9F0}" cache="Slicer_Region" caption="Region" columnCount="2" style="SlicerStyleOther2" rowHeight="241300"/>
  <slicer name="BusinessUnit 3" xr10:uid="{F3C5044C-888E-44EA-A1A4-1CBA9737A4A3}" cache="Slicer_BusinessUnit" caption="BusinessUnit" style="SlicerStyleOther2" rowHeight="241300"/>
  <slicer name="Department 3" xr10:uid="{34F61579-9AE0-446D-B8A6-714D73E8AAFE}" cache="Slicer_Department" caption="Department" style="SlicerStyleOther2" rowHeight="241300"/>
  <slicer name="CustomerType 3" xr10:uid="{7B6E0B10-C611-40BE-A08C-2C39C1518D75}" cache="Slicer_CustomerType" caption="CustomerType" style="SlicerStyleOther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A17FE9E6-7EC8-41AF-848A-5AD5B143B8C8}" cache="Slicer_Year" caption="Year" style="SlicerStyleOther2" rowHeight="241300"/>
  <slicer name="Month 4" xr10:uid="{C0A39FBE-FC66-4D28-95BD-ADAA60AC8E29}" cache="Slicer_Month" caption="Month" style="SlicerStyleOther2" rowHeight="252000"/>
  <slicer name="Region 4" xr10:uid="{C0414E54-7CED-4890-8838-9D5326D02ADB}" cache="Slicer_Region" caption="Region" columnCount="2" style="SlicerStyleOther2" rowHeight="241300"/>
  <slicer name="BusinessUnit 4" xr10:uid="{CC0F946E-85B2-44E9-B32B-CFCD3DC06122}" cache="Slicer_BusinessUnit" caption="BusinessUnit" style="SlicerStyleOther2" rowHeight="241300"/>
  <slicer name="Department 4" xr10:uid="{857DE2AF-8D01-4767-99F7-E32971DE4150}" cache="Slicer_Department" caption="Department" style="SlicerStyleOther2" rowHeight="241300"/>
  <slicer name="CustomerType 4" xr10:uid="{F2217756-A954-4D7E-A59C-0C28A96AA36E}" cache="Slicer_CustomerType" caption="CustomerType" style="SlicerStyleOther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F2C8184D-7EBB-43B8-9AEF-1439010E2E0B}" cache="Slicer_Year" caption="Year" style="SlicerStyleOther2" rowHeight="241300"/>
  <slicer name="Month 5" xr10:uid="{BCB26BA3-8625-474E-A02D-E762778EBC0F}" cache="Slicer_Month" caption="Month" style="SlicerStyleOther2" rowHeight="252000"/>
  <slicer name="Region 5" xr10:uid="{61D12D22-AC73-46ED-B195-6A8867D9484A}" cache="Slicer_Region" caption="Region" columnCount="2" style="SlicerStyleOther2" rowHeight="241300"/>
  <slicer name="BusinessUnit 5" xr10:uid="{05DAFEE7-16DD-4C5D-B065-CD4A36B0A30D}" cache="Slicer_BusinessUnit" caption="BusinessUnit" style="SlicerStyleOther2" rowHeight="241300"/>
  <slicer name="Department 5" xr10:uid="{1207282D-968D-49E1-A126-5D8179E4CE66}" cache="Slicer_Department" caption="Department" style="SlicerStyleOther2" rowHeight="241300"/>
  <slicer name="CustomerType 5" xr10:uid="{2E82509A-437B-460D-ACB7-10FA1F689D5F}" cache="Slicer_CustomerType" caption="CustomerType" style="SlicerStyleOther2"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C9EE5204-B3E9-42B4-B918-8930F4B1C804}" cache="Slicer_Year" caption="Year" style="SlicerStyleOther2" rowHeight="241300"/>
  <slicer name="Month 6" xr10:uid="{0A2FBFD3-4DD0-4C3F-ADD5-832E9F3D749C}" cache="Slicer_Month" caption="Month" style="SlicerStyleOther2" rowHeight="252000"/>
  <slicer name="Region 6" xr10:uid="{5A6328FA-C827-417B-A08F-D4B969578F8A}" cache="Slicer_Region" caption="Region" columnCount="2" style="SlicerStyleOther2" rowHeight="241300"/>
  <slicer name="BusinessUnit 6" xr10:uid="{1F3E23D1-3B68-4CEB-B9ED-DFB8F291E33C}" cache="Slicer_BusinessUnit" caption="BusinessUnit" style="SlicerStyleOther2" rowHeight="241300"/>
  <slicer name="Department 6" xr10:uid="{6554DD4F-A281-4749-BD61-2FE849B0AC2E}" cache="Slicer_Department" caption="Department" style="SlicerStyleOther2" rowHeight="241300"/>
  <slicer name="CustomerType 6" xr10:uid="{1F0AB962-C4AD-40C8-9698-0CEA2603B9DD}" cache="Slicer_CustomerType" caption="CustomerType" style="SlicerStyleOther2"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E1433EF5-5D3F-4CE2-A340-EDFC140701BC}" cache="Slicer_Year" caption="Year" style="SlicerStyleOther2" rowHeight="241300"/>
  <slicer name="Month 7" xr10:uid="{C36C43D9-821C-472B-BE49-F3586CBE3EB3}" cache="Slicer_Month" caption="Month" style="SlicerStyleOther2" rowHeight="252000"/>
  <slicer name="Region 7" xr10:uid="{06386F56-D0F9-4D42-8ECA-6DF3EF58F65F}" cache="Slicer_Region" caption="Region" columnCount="2" style="SlicerStyleOther2" rowHeight="241300"/>
  <slicer name="BusinessUnit 7" xr10:uid="{FFE13B07-DC8E-4370-B6BC-C775C0401310}" cache="Slicer_BusinessUnit" caption="BusinessUnit" style="SlicerStyleOther2" rowHeight="241300"/>
  <slicer name="Department 7" xr10:uid="{637A9867-EE6A-445A-B97D-5A4536DDB42B}" cache="Slicer_Department" caption="Department" style="SlicerStyleOther2" rowHeight="241300"/>
  <slicer name="CustomerType 7" xr10:uid="{4D6DA74C-86EE-43CA-AEFE-E9E7B5A69AE3}" cache="Slicer_CustomerType" caption="CustomerTyp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5EFCFF-ACD6-48C6-B750-BE04752845AB}" name="Table1" displayName="Table1" ref="A1:R102" totalsRowShown="0">
  <autoFilter ref="A1:R102" xr:uid="{405EFCFF-ACD6-48C6-B750-BE04752845AB}"/>
  <tableColumns count="18">
    <tableColumn id="1" xr3:uid="{C70E00E2-43DC-4090-AA15-B2A113BCDC1E}" name="Date" dataDxfId="0"/>
    <tableColumn id="2" xr3:uid="{866DEF87-1C48-445E-AF9A-5DE126529593}" name="Year"/>
    <tableColumn id="3" xr3:uid="{828C7120-6719-459D-B490-FDBB27730B06}" name="Month"/>
    <tableColumn id="4" xr3:uid="{90A60C92-4471-44C1-BAA3-2C15E7C80D6F}" name="Region"/>
    <tableColumn id="5" xr3:uid="{835B3A06-4F3C-4EA7-BC29-D621D3762F14}" name="BusinessUnit"/>
    <tableColumn id="6" xr3:uid="{BBD59B1A-49F2-454B-A4B0-1D8E4233BDCF}" name="Department"/>
    <tableColumn id="7" xr3:uid="{F32C0E8A-AD70-4E57-90B5-ACFA9D090DA3}" name="RevenueStream"/>
    <tableColumn id="8" xr3:uid="{150F06E2-A878-44C7-9C52-4B2F07B228C8}" name="ExpenseType"/>
    <tableColumn id="9" xr3:uid="{FA60E99B-292F-409C-957C-005DD3D076CD}" name="CustomerType"/>
    <tableColumn id="10" xr3:uid="{9FF1EAB7-266B-4ADD-BBDB-B57072D48C64}" name="PaymentMode"/>
    <tableColumn id="11" xr3:uid="{FCDAD964-83A9-4BD2-AFC8-89F76C234580}" name="Revenue"/>
    <tableColumn id="12" xr3:uid="{ACF0A693-FEF3-4691-9DE3-007EC490C0C2}" name="Expense"/>
    <tableColumn id="13" xr3:uid="{441245BE-732D-4BF2-BC2B-2597E372A8AC}" name="GrossProfit"/>
    <tableColumn id="14" xr3:uid="{8126B838-AA90-4F49-9CE3-3688376115C8}" name="TaxAmount"/>
    <tableColumn id="15" xr3:uid="{B20D36C2-0DC6-4488-A6E1-DD89D81E64F0}" name="NetProfit"/>
    <tableColumn id="16" xr3:uid="{4995CA32-4D0E-4D8B-8526-0F036CF2045E}" name="Budget"/>
    <tableColumn id="17" xr3:uid="{11A7EB1E-E992-4DCA-BE6C-4E475949933B}" name="Variance"/>
    <tableColumn id="18" xr3:uid="{EB0B303A-542B-46B9-8E38-1CA83B1E2F5D}" name="CashFlo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2"/>
  <sheetViews>
    <sheetView tabSelected="1" topLeftCell="C1" workbookViewId="0">
      <selection activeCell="O4" sqref="O4"/>
    </sheetView>
  </sheetViews>
  <sheetFormatPr defaultRowHeight="14.4" x14ac:dyDescent="0.3"/>
  <cols>
    <col min="1" max="1" width="10.44140625" bestFit="1" customWidth="1"/>
    <col min="4" max="4" width="9.33203125" customWidth="1"/>
    <col min="5" max="5" width="14.6640625" customWidth="1"/>
    <col min="6" max="6" width="13.88671875" customWidth="1"/>
    <col min="7" max="7" width="17.33203125" customWidth="1"/>
    <col min="8" max="8" width="14.88671875" customWidth="1"/>
    <col min="9" max="9" width="16" customWidth="1"/>
    <col min="10" max="10" width="16.33203125" customWidth="1"/>
    <col min="11" max="11" width="11" customWidth="1"/>
    <col min="12" max="12" width="10.5546875" customWidth="1"/>
    <col min="13" max="13" width="13.109375" customWidth="1"/>
    <col min="14" max="14" width="13.33203125" customWidth="1"/>
    <col min="15" max="15" width="11.44140625" customWidth="1"/>
    <col min="16" max="16" width="9.44140625" customWidth="1"/>
    <col min="17" max="17" width="10.88671875" customWidth="1"/>
    <col min="18" max="18" width="11.5546875" customWidth="1"/>
  </cols>
  <sheetData>
    <row r="1" spans="1:18" x14ac:dyDescent="0.3">
      <c r="A1" t="s">
        <v>0</v>
      </c>
      <c r="B1" t="s">
        <v>1</v>
      </c>
      <c r="C1" t="s">
        <v>2</v>
      </c>
      <c r="D1" t="s">
        <v>3</v>
      </c>
      <c r="E1" t="s">
        <v>29</v>
      </c>
      <c r="F1" t="s">
        <v>4</v>
      </c>
      <c r="G1" t="s">
        <v>30</v>
      </c>
      <c r="H1" t="s">
        <v>31</v>
      </c>
      <c r="I1" t="s">
        <v>32</v>
      </c>
      <c r="J1" t="s">
        <v>5</v>
      </c>
      <c r="K1" t="s">
        <v>33</v>
      </c>
      <c r="L1" t="s">
        <v>12</v>
      </c>
      <c r="M1" t="s">
        <v>34</v>
      </c>
      <c r="N1" t="s">
        <v>35</v>
      </c>
      <c r="O1" t="s">
        <v>36</v>
      </c>
      <c r="P1" t="s">
        <v>37</v>
      </c>
      <c r="Q1" t="s">
        <v>38</v>
      </c>
      <c r="R1" t="s">
        <v>39</v>
      </c>
    </row>
    <row r="2" spans="1:18" x14ac:dyDescent="0.3">
      <c r="A2" s="1">
        <v>45658</v>
      </c>
      <c r="B2">
        <v>2025</v>
      </c>
      <c r="C2" t="s">
        <v>6</v>
      </c>
      <c r="D2" t="s">
        <v>7</v>
      </c>
      <c r="E2" t="s">
        <v>40</v>
      </c>
      <c r="F2" t="s">
        <v>8</v>
      </c>
      <c r="G2" t="s">
        <v>41</v>
      </c>
      <c r="H2" t="s">
        <v>22</v>
      </c>
      <c r="I2" t="s">
        <v>42</v>
      </c>
      <c r="J2" t="s">
        <v>9</v>
      </c>
      <c r="K2">
        <v>85000</v>
      </c>
      <c r="L2">
        <v>42000</v>
      </c>
      <c r="M2">
        <v>43000</v>
      </c>
      <c r="N2">
        <v>6450</v>
      </c>
      <c r="O2">
        <v>36550</v>
      </c>
      <c r="P2">
        <v>80000</v>
      </c>
      <c r="Q2">
        <v>5000</v>
      </c>
      <c r="R2">
        <v>36550</v>
      </c>
    </row>
    <row r="3" spans="1:18" x14ac:dyDescent="0.3">
      <c r="A3" s="1">
        <v>45659</v>
      </c>
      <c r="B3">
        <v>2025</v>
      </c>
      <c r="C3" t="s">
        <v>6</v>
      </c>
      <c r="D3" t="s">
        <v>10</v>
      </c>
      <c r="E3" t="s">
        <v>43</v>
      </c>
      <c r="F3" t="s">
        <v>11</v>
      </c>
      <c r="G3" t="s">
        <v>44</v>
      </c>
      <c r="H3" t="s">
        <v>45</v>
      </c>
      <c r="I3" t="s">
        <v>46</v>
      </c>
      <c r="J3" t="s">
        <v>16</v>
      </c>
      <c r="K3">
        <v>92000</v>
      </c>
      <c r="L3">
        <v>38000</v>
      </c>
      <c r="M3">
        <v>54000</v>
      </c>
      <c r="N3">
        <v>8100</v>
      </c>
      <c r="O3">
        <v>45900</v>
      </c>
      <c r="P3">
        <v>90000</v>
      </c>
      <c r="Q3">
        <v>2000</v>
      </c>
      <c r="R3">
        <v>45900</v>
      </c>
    </row>
    <row r="4" spans="1:18" x14ac:dyDescent="0.3">
      <c r="A4" s="1">
        <v>45660</v>
      </c>
      <c r="B4">
        <v>2025</v>
      </c>
      <c r="C4" t="s">
        <v>6</v>
      </c>
      <c r="D4" t="s">
        <v>14</v>
      </c>
      <c r="E4" t="s">
        <v>47</v>
      </c>
      <c r="F4" t="s">
        <v>20</v>
      </c>
      <c r="G4" t="s">
        <v>48</v>
      </c>
      <c r="H4" t="s">
        <v>26</v>
      </c>
      <c r="I4" t="s">
        <v>46</v>
      </c>
      <c r="J4" t="s">
        <v>13</v>
      </c>
      <c r="K4">
        <v>78000</v>
      </c>
      <c r="L4">
        <v>35000</v>
      </c>
      <c r="M4">
        <v>43000</v>
      </c>
      <c r="N4">
        <v>6450</v>
      </c>
      <c r="O4">
        <v>36550</v>
      </c>
      <c r="P4">
        <v>75000</v>
      </c>
      <c r="Q4">
        <v>3000</v>
      </c>
      <c r="R4">
        <v>36550</v>
      </c>
    </row>
    <row r="5" spans="1:18" x14ac:dyDescent="0.3">
      <c r="A5" s="1">
        <v>45661</v>
      </c>
      <c r="B5">
        <v>2025</v>
      </c>
      <c r="C5" t="s">
        <v>6</v>
      </c>
      <c r="D5" t="s">
        <v>17</v>
      </c>
      <c r="E5" t="s">
        <v>19</v>
      </c>
      <c r="F5" t="s">
        <v>49</v>
      </c>
      <c r="G5" t="s">
        <v>24</v>
      </c>
      <c r="H5" t="s">
        <v>50</v>
      </c>
      <c r="I5" t="s">
        <v>46</v>
      </c>
      <c r="J5" t="s">
        <v>16</v>
      </c>
      <c r="K5">
        <v>66000</v>
      </c>
      <c r="L5">
        <v>28000</v>
      </c>
      <c r="M5">
        <v>38000</v>
      </c>
      <c r="N5">
        <v>5700</v>
      </c>
      <c r="O5">
        <v>32300</v>
      </c>
      <c r="P5">
        <v>65000</v>
      </c>
      <c r="Q5">
        <v>1000</v>
      </c>
      <c r="R5">
        <v>32300</v>
      </c>
    </row>
    <row r="6" spans="1:18" x14ac:dyDescent="0.3">
      <c r="A6" s="1">
        <v>45662</v>
      </c>
      <c r="B6">
        <v>2025</v>
      </c>
      <c r="C6" t="s">
        <v>6</v>
      </c>
      <c r="D6" t="s">
        <v>7</v>
      </c>
      <c r="E6" t="s">
        <v>40</v>
      </c>
      <c r="F6" t="s">
        <v>21</v>
      </c>
      <c r="G6" t="s">
        <v>41</v>
      </c>
      <c r="H6" t="s">
        <v>51</v>
      </c>
      <c r="I6" t="s">
        <v>42</v>
      </c>
      <c r="J6" t="s">
        <v>18</v>
      </c>
      <c r="K6">
        <v>88000</v>
      </c>
      <c r="L6">
        <v>46000</v>
      </c>
      <c r="M6">
        <v>42000</v>
      </c>
      <c r="N6">
        <v>6300</v>
      </c>
      <c r="O6">
        <v>35700</v>
      </c>
      <c r="P6">
        <v>85000</v>
      </c>
      <c r="Q6">
        <v>3000</v>
      </c>
      <c r="R6">
        <v>35700</v>
      </c>
    </row>
    <row r="7" spans="1:18" x14ac:dyDescent="0.3">
      <c r="A7" s="1">
        <v>45663</v>
      </c>
      <c r="B7">
        <v>2025</v>
      </c>
      <c r="C7" t="s">
        <v>6</v>
      </c>
      <c r="D7" t="s">
        <v>10</v>
      </c>
      <c r="E7" t="s">
        <v>43</v>
      </c>
      <c r="F7" t="s">
        <v>15</v>
      </c>
      <c r="G7" t="s">
        <v>52</v>
      </c>
      <c r="H7" t="s">
        <v>28</v>
      </c>
      <c r="I7" t="s">
        <v>46</v>
      </c>
      <c r="J7" t="s">
        <v>9</v>
      </c>
      <c r="K7">
        <v>72000</v>
      </c>
      <c r="L7">
        <v>30000</v>
      </c>
      <c r="M7">
        <v>42000</v>
      </c>
      <c r="N7">
        <v>6300</v>
      </c>
      <c r="O7">
        <v>35700</v>
      </c>
      <c r="P7">
        <v>70000</v>
      </c>
      <c r="Q7">
        <v>2000</v>
      </c>
      <c r="R7">
        <v>35700</v>
      </c>
    </row>
    <row r="8" spans="1:18" x14ac:dyDescent="0.3">
      <c r="A8" s="1">
        <v>45664</v>
      </c>
      <c r="B8">
        <v>2025</v>
      </c>
      <c r="C8" t="s">
        <v>6</v>
      </c>
      <c r="D8" t="s">
        <v>14</v>
      </c>
      <c r="E8" t="s">
        <v>47</v>
      </c>
      <c r="F8" t="s">
        <v>8</v>
      </c>
      <c r="G8" t="s">
        <v>53</v>
      </c>
      <c r="H8" t="s">
        <v>54</v>
      </c>
      <c r="I8" t="s">
        <v>46</v>
      </c>
      <c r="J8" t="s">
        <v>13</v>
      </c>
      <c r="K8">
        <v>98000</v>
      </c>
      <c r="L8">
        <v>41000</v>
      </c>
      <c r="M8">
        <v>57000</v>
      </c>
      <c r="N8">
        <v>8550</v>
      </c>
      <c r="O8">
        <v>48450</v>
      </c>
      <c r="P8">
        <v>95000</v>
      </c>
      <c r="Q8">
        <v>3000</v>
      </c>
      <c r="R8">
        <v>48450</v>
      </c>
    </row>
    <row r="9" spans="1:18" x14ac:dyDescent="0.3">
      <c r="A9" s="1">
        <v>45665</v>
      </c>
      <c r="B9">
        <v>2025</v>
      </c>
      <c r="C9" t="s">
        <v>6</v>
      </c>
      <c r="D9" t="s">
        <v>17</v>
      </c>
      <c r="E9" t="s">
        <v>40</v>
      </c>
      <c r="F9" t="s">
        <v>11</v>
      </c>
      <c r="G9" t="s">
        <v>55</v>
      </c>
      <c r="H9" t="s">
        <v>56</v>
      </c>
      <c r="I9" t="s">
        <v>42</v>
      </c>
      <c r="J9" t="s">
        <v>9</v>
      </c>
      <c r="K9">
        <v>76000</v>
      </c>
      <c r="L9">
        <v>33000</v>
      </c>
      <c r="M9">
        <v>43000</v>
      </c>
      <c r="N9">
        <v>6450</v>
      </c>
      <c r="O9">
        <v>36550</v>
      </c>
      <c r="P9">
        <v>75000</v>
      </c>
      <c r="Q9">
        <v>1000</v>
      </c>
      <c r="R9">
        <v>36550</v>
      </c>
    </row>
    <row r="10" spans="1:18" x14ac:dyDescent="0.3">
      <c r="A10" s="1">
        <v>45666</v>
      </c>
      <c r="B10">
        <v>2025</v>
      </c>
      <c r="C10" t="s">
        <v>6</v>
      </c>
      <c r="D10" t="s">
        <v>7</v>
      </c>
      <c r="E10" t="s">
        <v>43</v>
      </c>
      <c r="F10" t="s">
        <v>19</v>
      </c>
      <c r="G10" t="s">
        <v>57</v>
      </c>
      <c r="H10" t="s">
        <v>27</v>
      </c>
      <c r="I10" t="s">
        <v>46</v>
      </c>
      <c r="J10" t="s">
        <v>16</v>
      </c>
      <c r="K10">
        <v>105000</v>
      </c>
      <c r="L10">
        <v>52000</v>
      </c>
      <c r="M10">
        <v>53000</v>
      </c>
      <c r="N10">
        <v>7950</v>
      </c>
      <c r="O10">
        <v>45050</v>
      </c>
      <c r="P10">
        <v>100000</v>
      </c>
      <c r="Q10">
        <v>5000</v>
      </c>
      <c r="R10">
        <v>45050</v>
      </c>
    </row>
    <row r="11" spans="1:18" x14ac:dyDescent="0.3">
      <c r="A11" s="1">
        <v>45667</v>
      </c>
      <c r="B11">
        <v>2025</v>
      </c>
      <c r="C11" t="s">
        <v>6</v>
      </c>
      <c r="D11" t="s">
        <v>10</v>
      </c>
      <c r="E11" t="s">
        <v>47</v>
      </c>
      <c r="F11" t="s">
        <v>20</v>
      </c>
      <c r="G11" t="s">
        <v>58</v>
      </c>
      <c r="H11" t="s">
        <v>59</v>
      </c>
      <c r="I11" t="s">
        <v>46</v>
      </c>
      <c r="J11" t="s">
        <v>9</v>
      </c>
      <c r="K11">
        <v>89000</v>
      </c>
      <c r="L11">
        <v>37000</v>
      </c>
      <c r="M11">
        <v>52000</v>
      </c>
      <c r="N11">
        <v>7800</v>
      </c>
      <c r="O11">
        <v>44200</v>
      </c>
      <c r="P11">
        <v>88000</v>
      </c>
      <c r="Q11">
        <v>1000</v>
      </c>
      <c r="R11">
        <v>44200</v>
      </c>
    </row>
    <row r="12" spans="1:18" x14ac:dyDescent="0.3">
      <c r="A12" s="1">
        <v>45699</v>
      </c>
      <c r="B12">
        <v>2025</v>
      </c>
      <c r="C12" t="s">
        <v>60</v>
      </c>
      <c r="D12" t="s">
        <v>14</v>
      </c>
      <c r="E12" t="s">
        <v>40</v>
      </c>
      <c r="F12" t="s">
        <v>8</v>
      </c>
      <c r="G12" t="s">
        <v>41</v>
      </c>
      <c r="H12" t="s">
        <v>61</v>
      </c>
      <c r="I12" t="s">
        <v>42</v>
      </c>
      <c r="J12" t="s">
        <v>13</v>
      </c>
      <c r="K12">
        <v>83000</v>
      </c>
      <c r="L12">
        <v>39000</v>
      </c>
      <c r="M12">
        <v>44000</v>
      </c>
      <c r="N12">
        <v>6600</v>
      </c>
      <c r="O12">
        <v>37400</v>
      </c>
      <c r="P12">
        <v>80000</v>
      </c>
      <c r="Q12">
        <v>3000</v>
      </c>
      <c r="R12">
        <v>37400</v>
      </c>
    </row>
    <row r="13" spans="1:18" x14ac:dyDescent="0.3">
      <c r="A13" s="1">
        <v>45700</v>
      </c>
      <c r="B13">
        <v>2025</v>
      </c>
      <c r="C13" t="s">
        <v>60</v>
      </c>
      <c r="D13" t="s">
        <v>17</v>
      </c>
      <c r="E13" t="s">
        <v>43</v>
      </c>
      <c r="F13" t="s">
        <v>11</v>
      </c>
      <c r="G13" t="s">
        <v>44</v>
      </c>
      <c r="H13" t="s">
        <v>62</v>
      </c>
      <c r="I13" t="s">
        <v>46</v>
      </c>
      <c r="J13" t="s">
        <v>9</v>
      </c>
      <c r="K13">
        <v>91000</v>
      </c>
      <c r="L13">
        <v>42000</v>
      </c>
      <c r="M13">
        <v>49000</v>
      </c>
      <c r="N13">
        <v>7350</v>
      </c>
      <c r="O13">
        <v>41650</v>
      </c>
      <c r="P13">
        <v>90000</v>
      </c>
      <c r="Q13">
        <v>1000</v>
      </c>
      <c r="R13">
        <v>41650</v>
      </c>
    </row>
    <row r="14" spans="1:18" x14ac:dyDescent="0.3">
      <c r="A14" s="1">
        <v>45701</v>
      </c>
      <c r="B14">
        <v>2025</v>
      </c>
      <c r="C14" t="s">
        <v>60</v>
      </c>
      <c r="D14" t="s">
        <v>7</v>
      </c>
      <c r="E14" t="s">
        <v>47</v>
      </c>
      <c r="F14" t="s">
        <v>20</v>
      </c>
      <c r="G14" t="s">
        <v>48</v>
      </c>
      <c r="H14" t="s">
        <v>63</v>
      </c>
      <c r="I14" t="s">
        <v>46</v>
      </c>
      <c r="J14" t="s">
        <v>16</v>
      </c>
      <c r="K14">
        <v>99000</v>
      </c>
      <c r="L14">
        <v>45000</v>
      </c>
      <c r="M14">
        <v>54000</v>
      </c>
      <c r="N14">
        <v>8100</v>
      </c>
      <c r="O14">
        <v>45900</v>
      </c>
      <c r="P14">
        <v>97000</v>
      </c>
      <c r="Q14">
        <v>2000</v>
      </c>
      <c r="R14">
        <v>45900</v>
      </c>
    </row>
    <row r="15" spans="1:18" x14ac:dyDescent="0.3">
      <c r="A15" s="1">
        <v>45702</v>
      </c>
      <c r="B15">
        <v>2025</v>
      </c>
      <c r="C15" t="s">
        <v>60</v>
      </c>
      <c r="D15" t="s">
        <v>10</v>
      </c>
      <c r="E15" t="s">
        <v>19</v>
      </c>
      <c r="F15" t="s">
        <v>49</v>
      </c>
      <c r="G15" t="s">
        <v>24</v>
      </c>
      <c r="H15" t="s">
        <v>64</v>
      </c>
      <c r="I15" t="s">
        <v>46</v>
      </c>
      <c r="J15" t="s">
        <v>16</v>
      </c>
      <c r="K15">
        <v>70000</v>
      </c>
      <c r="L15">
        <v>29000</v>
      </c>
      <c r="M15">
        <v>41000</v>
      </c>
      <c r="N15">
        <v>6150</v>
      </c>
      <c r="O15">
        <v>34850</v>
      </c>
      <c r="P15">
        <v>68000</v>
      </c>
      <c r="Q15">
        <v>2000</v>
      </c>
      <c r="R15">
        <v>34850</v>
      </c>
    </row>
    <row r="16" spans="1:18" x14ac:dyDescent="0.3">
      <c r="A16" s="1">
        <v>45703</v>
      </c>
      <c r="B16">
        <v>2025</v>
      </c>
      <c r="C16" t="s">
        <v>60</v>
      </c>
      <c r="D16" t="s">
        <v>14</v>
      </c>
      <c r="E16" t="s">
        <v>40</v>
      </c>
      <c r="F16" t="s">
        <v>21</v>
      </c>
      <c r="G16" t="s">
        <v>41</v>
      </c>
      <c r="H16" t="s">
        <v>65</v>
      </c>
      <c r="I16" t="s">
        <v>42</v>
      </c>
      <c r="J16" t="s">
        <v>18</v>
      </c>
      <c r="K16">
        <v>86000</v>
      </c>
      <c r="L16">
        <v>47000</v>
      </c>
      <c r="M16">
        <v>39000</v>
      </c>
      <c r="N16">
        <v>5850</v>
      </c>
      <c r="O16">
        <v>33150</v>
      </c>
      <c r="P16">
        <v>85000</v>
      </c>
      <c r="Q16">
        <v>1000</v>
      </c>
      <c r="R16">
        <v>33150</v>
      </c>
    </row>
    <row r="17" spans="1:18" x14ac:dyDescent="0.3">
      <c r="A17" s="1">
        <v>45704</v>
      </c>
      <c r="B17">
        <v>2025</v>
      </c>
      <c r="C17" t="s">
        <v>60</v>
      </c>
      <c r="D17" t="s">
        <v>17</v>
      </c>
      <c r="E17" t="s">
        <v>43</v>
      </c>
      <c r="F17" t="s">
        <v>15</v>
      </c>
      <c r="G17" t="s">
        <v>52</v>
      </c>
      <c r="H17" t="s">
        <v>23</v>
      </c>
      <c r="I17" t="s">
        <v>46</v>
      </c>
      <c r="J17" t="s">
        <v>13</v>
      </c>
      <c r="K17">
        <v>74000</v>
      </c>
      <c r="L17">
        <v>31000</v>
      </c>
      <c r="M17">
        <v>43000</v>
      </c>
      <c r="N17">
        <v>6450</v>
      </c>
      <c r="O17">
        <v>36550</v>
      </c>
      <c r="P17">
        <v>72000</v>
      </c>
      <c r="Q17">
        <v>2000</v>
      </c>
      <c r="R17">
        <v>36550</v>
      </c>
    </row>
    <row r="18" spans="1:18" x14ac:dyDescent="0.3">
      <c r="A18" s="1">
        <v>45705</v>
      </c>
      <c r="B18">
        <v>2025</v>
      </c>
      <c r="C18" t="s">
        <v>60</v>
      </c>
      <c r="D18" t="s">
        <v>7</v>
      </c>
      <c r="E18" t="s">
        <v>47</v>
      </c>
      <c r="F18" t="s">
        <v>8</v>
      </c>
      <c r="G18" t="s">
        <v>53</v>
      </c>
      <c r="H18" t="s">
        <v>66</v>
      </c>
      <c r="I18" t="s">
        <v>46</v>
      </c>
      <c r="J18" t="s">
        <v>9</v>
      </c>
      <c r="K18">
        <v>102000</v>
      </c>
      <c r="L18">
        <v>48000</v>
      </c>
      <c r="M18">
        <v>54000</v>
      </c>
      <c r="N18">
        <v>8100</v>
      </c>
      <c r="O18">
        <v>45900</v>
      </c>
      <c r="P18">
        <v>100000</v>
      </c>
      <c r="Q18">
        <v>2000</v>
      </c>
      <c r="R18">
        <v>45900</v>
      </c>
    </row>
    <row r="19" spans="1:18" x14ac:dyDescent="0.3">
      <c r="A19" s="1">
        <v>45706</v>
      </c>
      <c r="B19">
        <v>2025</v>
      </c>
      <c r="C19" t="s">
        <v>60</v>
      </c>
      <c r="D19" t="s">
        <v>10</v>
      </c>
      <c r="E19" t="s">
        <v>40</v>
      </c>
      <c r="F19" t="s">
        <v>11</v>
      </c>
      <c r="G19" t="s">
        <v>55</v>
      </c>
      <c r="H19" t="s">
        <v>67</v>
      </c>
      <c r="I19" t="s">
        <v>42</v>
      </c>
      <c r="J19" t="s">
        <v>9</v>
      </c>
      <c r="K19">
        <v>78000</v>
      </c>
      <c r="L19">
        <v>35000</v>
      </c>
      <c r="M19">
        <v>43000</v>
      </c>
      <c r="N19">
        <v>6450</v>
      </c>
      <c r="O19">
        <v>36550</v>
      </c>
      <c r="P19">
        <v>76000</v>
      </c>
      <c r="Q19">
        <v>2000</v>
      </c>
      <c r="R19">
        <v>36550</v>
      </c>
    </row>
    <row r="20" spans="1:18" x14ac:dyDescent="0.3">
      <c r="A20" s="1">
        <v>45707</v>
      </c>
      <c r="B20">
        <v>2025</v>
      </c>
      <c r="C20" t="s">
        <v>60</v>
      </c>
      <c r="D20" t="s">
        <v>14</v>
      </c>
      <c r="E20" t="s">
        <v>43</v>
      </c>
      <c r="F20" t="s">
        <v>19</v>
      </c>
      <c r="G20" t="s">
        <v>57</v>
      </c>
      <c r="H20" t="s">
        <v>68</v>
      </c>
      <c r="I20" t="s">
        <v>46</v>
      </c>
      <c r="J20" t="s">
        <v>16</v>
      </c>
      <c r="K20">
        <v>110000</v>
      </c>
      <c r="L20">
        <v>55000</v>
      </c>
      <c r="M20">
        <v>55000</v>
      </c>
      <c r="N20">
        <v>8250</v>
      </c>
      <c r="O20">
        <v>46750</v>
      </c>
      <c r="P20">
        <v>108000</v>
      </c>
      <c r="Q20">
        <v>2000</v>
      </c>
      <c r="R20">
        <v>46750</v>
      </c>
    </row>
    <row r="21" spans="1:18" x14ac:dyDescent="0.3">
      <c r="A21" s="1">
        <v>45708</v>
      </c>
      <c r="B21">
        <v>2025</v>
      </c>
      <c r="C21" t="s">
        <v>60</v>
      </c>
      <c r="D21" t="s">
        <v>17</v>
      </c>
      <c r="E21" t="s">
        <v>47</v>
      </c>
      <c r="F21" t="s">
        <v>20</v>
      </c>
      <c r="G21" t="s">
        <v>58</v>
      </c>
      <c r="H21" t="s">
        <v>25</v>
      </c>
      <c r="I21" t="s">
        <v>46</v>
      </c>
      <c r="J21" t="s">
        <v>13</v>
      </c>
      <c r="K21">
        <v>92000</v>
      </c>
      <c r="L21">
        <v>39000</v>
      </c>
      <c r="M21">
        <v>53000</v>
      </c>
      <c r="N21">
        <v>7950</v>
      </c>
      <c r="O21">
        <v>45050</v>
      </c>
      <c r="P21">
        <v>90000</v>
      </c>
      <c r="Q21">
        <v>2000</v>
      </c>
      <c r="R21">
        <v>45050</v>
      </c>
    </row>
    <row r="22" spans="1:18" x14ac:dyDescent="0.3">
      <c r="A22" s="1">
        <v>45737</v>
      </c>
      <c r="B22">
        <v>2025</v>
      </c>
      <c r="C22" t="s">
        <v>69</v>
      </c>
      <c r="D22" t="s">
        <v>7</v>
      </c>
      <c r="E22" t="s">
        <v>40</v>
      </c>
      <c r="F22" t="s">
        <v>8</v>
      </c>
      <c r="G22" t="s">
        <v>41</v>
      </c>
      <c r="H22" t="s">
        <v>70</v>
      </c>
      <c r="I22" t="s">
        <v>42</v>
      </c>
      <c r="J22" t="s">
        <v>9</v>
      </c>
      <c r="K22">
        <v>88000</v>
      </c>
      <c r="L22">
        <v>41000</v>
      </c>
      <c r="M22">
        <v>47000</v>
      </c>
      <c r="N22">
        <v>7050</v>
      </c>
      <c r="O22">
        <v>39950</v>
      </c>
      <c r="P22">
        <v>86000</v>
      </c>
      <c r="Q22">
        <v>2000</v>
      </c>
      <c r="R22">
        <v>39950</v>
      </c>
    </row>
    <row r="23" spans="1:18" x14ac:dyDescent="0.3">
      <c r="A23" s="1">
        <v>45738</v>
      </c>
      <c r="B23">
        <v>2025</v>
      </c>
      <c r="C23" t="s">
        <v>69</v>
      </c>
      <c r="D23" t="s">
        <v>10</v>
      </c>
      <c r="E23" t="s">
        <v>43</v>
      </c>
      <c r="F23" t="s">
        <v>11</v>
      </c>
      <c r="G23" t="s">
        <v>44</v>
      </c>
      <c r="H23" t="s">
        <v>71</v>
      </c>
      <c r="I23" t="s">
        <v>46</v>
      </c>
      <c r="J23" t="s">
        <v>16</v>
      </c>
      <c r="K23">
        <v>95000</v>
      </c>
      <c r="L23">
        <v>44000</v>
      </c>
      <c r="M23">
        <v>51000</v>
      </c>
      <c r="N23">
        <v>7650</v>
      </c>
      <c r="O23">
        <v>43350</v>
      </c>
      <c r="P23">
        <v>93000</v>
      </c>
      <c r="Q23">
        <v>2000</v>
      </c>
      <c r="R23">
        <v>43350</v>
      </c>
    </row>
    <row r="24" spans="1:18" x14ac:dyDescent="0.3">
      <c r="A24" s="1">
        <v>45739</v>
      </c>
      <c r="B24">
        <v>2025</v>
      </c>
      <c r="C24" t="s">
        <v>69</v>
      </c>
      <c r="D24" t="s">
        <v>14</v>
      </c>
      <c r="E24" t="s">
        <v>47</v>
      </c>
      <c r="F24" t="s">
        <v>20</v>
      </c>
      <c r="G24" t="s">
        <v>48</v>
      </c>
      <c r="H24" t="s">
        <v>72</v>
      </c>
      <c r="I24" t="s">
        <v>46</v>
      </c>
      <c r="J24" t="s">
        <v>9</v>
      </c>
      <c r="K24">
        <v>101000</v>
      </c>
      <c r="L24">
        <v>47000</v>
      </c>
      <c r="M24">
        <v>54000</v>
      </c>
      <c r="N24">
        <v>8100</v>
      </c>
      <c r="O24">
        <v>45900</v>
      </c>
      <c r="P24">
        <v>99000</v>
      </c>
      <c r="Q24">
        <v>2000</v>
      </c>
      <c r="R24">
        <v>45900</v>
      </c>
    </row>
    <row r="25" spans="1:18" x14ac:dyDescent="0.3">
      <c r="A25" s="1">
        <v>45740</v>
      </c>
      <c r="B25">
        <v>2025</v>
      </c>
      <c r="C25" t="s">
        <v>69</v>
      </c>
      <c r="D25" t="s">
        <v>17</v>
      </c>
      <c r="E25" t="s">
        <v>19</v>
      </c>
      <c r="F25" t="s">
        <v>49</v>
      </c>
      <c r="G25" t="s">
        <v>24</v>
      </c>
      <c r="H25" t="s">
        <v>73</v>
      </c>
      <c r="I25" t="s">
        <v>46</v>
      </c>
      <c r="J25" t="s">
        <v>16</v>
      </c>
      <c r="K25">
        <v>73000</v>
      </c>
      <c r="L25">
        <v>31000</v>
      </c>
      <c r="M25">
        <v>42000</v>
      </c>
      <c r="N25">
        <v>6300</v>
      </c>
      <c r="O25">
        <v>35700</v>
      </c>
      <c r="P25">
        <v>71000</v>
      </c>
      <c r="Q25">
        <v>2000</v>
      </c>
      <c r="R25">
        <v>35700</v>
      </c>
    </row>
    <row r="26" spans="1:18" x14ac:dyDescent="0.3">
      <c r="A26" s="1">
        <v>45741</v>
      </c>
      <c r="B26">
        <v>2025</v>
      </c>
      <c r="C26" t="s">
        <v>69</v>
      </c>
      <c r="D26" t="s">
        <v>7</v>
      </c>
      <c r="E26" t="s">
        <v>40</v>
      </c>
      <c r="F26" t="s">
        <v>21</v>
      </c>
      <c r="G26" t="s">
        <v>41</v>
      </c>
      <c r="H26" t="s">
        <v>74</v>
      </c>
      <c r="I26" t="s">
        <v>42</v>
      </c>
      <c r="J26" t="s">
        <v>18</v>
      </c>
      <c r="K26">
        <v>87000</v>
      </c>
      <c r="L26">
        <v>45000</v>
      </c>
      <c r="M26">
        <v>42000</v>
      </c>
      <c r="N26">
        <v>6300</v>
      </c>
      <c r="O26">
        <v>35700</v>
      </c>
      <c r="P26">
        <v>85000</v>
      </c>
      <c r="Q26">
        <v>2000</v>
      </c>
      <c r="R26">
        <v>35700</v>
      </c>
    </row>
    <row r="27" spans="1:18" x14ac:dyDescent="0.3">
      <c r="A27" s="1">
        <v>45742</v>
      </c>
      <c r="B27">
        <v>2025</v>
      </c>
      <c r="C27" t="s">
        <v>69</v>
      </c>
      <c r="D27" t="s">
        <v>10</v>
      </c>
      <c r="E27" t="s">
        <v>43</v>
      </c>
      <c r="F27" t="s">
        <v>15</v>
      </c>
      <c r="G27" t="s">
        <v>52</v>
      </c>
      <c r="H27" t="s">
        <v>75</v>
      </c>
      <c r="I27" t="s">
        <v>46</v>
      </c>
      <c r="J27" t="s">
        <v>13</v>
      </c>
      <c r="K27">
        <v>76000</v>
      </c>
      <c r="L27">
        <v>33000</v>
      </c>
      <c r="M27">
        <v>43000</v>
      </c>
      <c r="N27">
        <v>6450</v>
      </c>
      <c r="O27">
        <v>36550</v>
      </c>
      <c r="P27">
        <v>74000</v>
      </c>
      <c r="Q27">
        <v>2000</v>
      </c>
      <c r="R27">
        <v>36550</v>
      </c>
    </row>
    <row r="28" spans="1:18" x14ac:dyDescent="0.3">
      <c r="A28" s="1">
        <v>45743</v>
      </c>
      <c r="B28">
        <v>2025</v>
      </c>
      <c r="C28" t="s">
        <v>69</v>
      </c>
      <c r="D28" t="s">
        <v>14</v>
      </c>
      <c r="E28" t="s">
        <v>47</v>
      </c>
      <c r="F28" t="s">
        <v>8</v>
      </c>
      <c r="G28" t="s">
        <v>53</v>
      </c>
      <c r="H28" t="s">
        <v>11</v>
      </c>
      <c r="I28" t="s">
        <v>46</v>
      </c>
      <c r="J28" t="s">
        <v>9</v>
      </c>
      <c r="K28">
        <v>108000</v>
      </c>
      <c r="L28">
        <v>50000</v>
      </c>
      <c r="M28">
        <v>58000</v>
      </c>
      <c r="N28">
        <v>8700</v>
      </c>
      <c r="O28">
        <v>49300</v>
      </c>
      <c r="P28">
        <v>105000</v>
      </c>
      <c r="Q28">
        <v>3000</v>
      </c>
      <c r="R28">
        <v>49300</v>
      </c>
    </row>
    <row r="29" spans="1:18" x14ac:dyDescent="0.3">
      <c r="A29" s="1">
        <v>45744</v>
      </c>
      <c r="B29">
        <v>2025</v>
      </c>
      <c r="C29" t="s">
        <v>69</v>
      </c>
      <c r="D29" t="s">
        <v>17</v>
      </c>
      <c r="E29" t="s">
        <v>40</v>
      </c>
      <c r="F29" t="s">
        <v>11</v>
      </c>
      <c r="G29" t="s">
        <v>55</v>
      </c>
      <c r="H29" t="s">
        <v>56</v>
      </c>
      <c r="I29" t="s">
        <v>42</v>
      </c>
      <c r="J29" t="s">
        <v>9</v>
      </c>
      <c r="K29">
        <v>82000</v>
      </c>
      <c r="L29">
        <v>36000</v>
      </c>
      <c r="M29">
        <v>46000</v>
      </c>
      <c r="N29">
        <v>6900</v>
      </c>
      <c r="O29">
        <v>39100</v>
      </c>
      <c r="P29">
        <v>80000</v>
      </c>
      <c r="Q29">
        <v>2000</v>
      </c>
      <c r="R29">
        <v>39100</v>
      </c>
    </row>
    <row r="30" spans="1:18" x14ac:dyDescent="0.3">
      <c r="A30" s="1">
        <v>45745</v>
      </c>
      <c r="B30">
        <v>2025</v>
      </c>
      <c r="C30" t="s">
        <v>69</v>
      </c>
      <c r="D30" t="s">
        <v>7</v>
      </c>
      <c r="E30" t="s">
        <v>43</v>
      </c>
      <c r="F30" t="s">
        <v>19</v>
      </c>
      <c r="G30" t="s">
        <v>57</v>
      </c>
      <c r="H30" t="s">
        <v>76</v>
      </c>
      <c r="I30" t="s">
        <v>46</v>
      </c>
      <c r="J30" t="s">
        <v>16</v>
      </c>
      <c r="K30">
        <v>115000</v>
      </c>
      <c r="L30">
        <v>56000</v>
      </c>
      <c r="M30">
        <v>59000</v>
      </c>
      <c r="N30">
        <v>8850</v>
      </c>
      <c r="O30">
        <v>50150</v>
      </c>
      <c r="P30">
        <v>112000</v>
      </c>
      <c r="Q30">
        <v>3000</v>
      </c>
      <c r="R30">
        <v>50150</v>
      </c>
    </row>
    <row r="31" spans="1:18" x14ac:dyDescent="0.3">
      <c r="A31" s="1">
        <v>45746</v>
      </c>
      <c r="B31">
        <v>2025</v>
      </c>
      <c r="C31" t="s">
        <v>69</v>
      </c>
      <c r="D31" t="s">
        <v>10</v>
      </c>
      <c r="E31" t="s">
        <v>47</v>
      </c>
      <c r="F31" t="s">
        <v>20</v>
      </c>
      <c r="G31" t="s">
        <v>58</v>
      </c>
      <c r="H31" t="s">
        <v>77</v>
      </c>
      <c r="I31" t="s">
        <v>46</v>
      </c>
      <c r="J31" t="s">
        <v>9</v>
      </c>
      <c r="K31">
        <v>96000</v>
      </c>
      <c r="L31">
        <v>42000</v>
      </c>
      <c r="M31">
        <v>54000</v>
      </c>
      <c r="N31">
        <v>8100</v>
      </c>
      <c r="O31">
        <v>45900</v>
      </c>
      <c r="P31">
        <v>94000</v>
      </c>
      <c r="Q31">
        <v>2000</v>
      </c>
      <c r="R31">
        <v>45900</v>
      </c>
    </row>
    <row r="32" spans="1:18" x14ac:dyDescent="0.3">
      <c r="A32" s="1">
        <v>45747</v>
      </c>
      <c r="B32">
        <v>2025</v>
      </c>
      <c r="C32" t="s">
        <v>69</v>
      </c>
      <c r="D32" t="s">
        <v>14</v>
      </c>
      <c r="E32" t="s">
        <v>40</v>
      </c>
      <c r="F32" t="s">
        <v>8</v>
      </c>
      <c r="G32" t="s">
        <v>41</v>
      </c>
      <c r="H32" t="s">
        <v>78</v>
      </c>
      <c r="I32" t="s">
        <v>42</v>
      </c>
      <c r="J32" t="s">
        <v>13</v>
      </c>
      <c r="K32">
        <v>85000</v>
      </c>
      <c r="L32">
        <v>39000</v>
      </c>
      <c r="M32">
        <v>46000</v>
      </c>
      <c r="N32">
        <v>6900</v>
      </c>
      <c r="O32">
        <v>39100</v>
      </c>
      <c r="P32">
        <v>83000</v>
      </c>
      <c r="Q32">
        <v>2000</v>
      </c>
      <c r="R32">
        <v>39100</v>
      </c>
    </row>
    <row r="33" spans="1:18" x14ac:dyDescent="0.3">
      <c r="A33" s="1">
        <v>45748</v>
      </c>
      <c r="B33">
        <v>2025</v>
      </c>
      <c r="C33" t="s">
        <v>79</v>
      </c>
      <c r="D33" t="s">
        <v>17</v>
      </c>
      <c r="E33" t="s">
        <v>43</v>
      </c>
      <c r="F33" t="s">
        <v>11</v>
      </c>
      <c r="G33" t="s">
        <v>44</v>
      </c>
      <c r="H33" t="s">
        <v>80</v>
      </c>
      <c r="I33" t="s">
        <v>46</v>
      </c>
      <c r="J33" t="s">
        <v>9</v>
      </c>
      <c r="K33">
        <v>99000</v>
      </c>
      <c r="L33">
        <v>45000</v>
      </c>
      <c r="M33">
        <v>54000</v>
      </c>
      <c r="N33">
        <v>8100</v>
      </c>
      <c r="O33">
        <v>45900</v>
      </c>
      <c r="P33">
        <v>97000</v>
      </c>
      <c r="Q33">
        <v>2000</v>
      </c>
      <c r="R33">
        <v>45900</v>
      </c>
    </row>
    <row r="34" spans="1:18" x14ac:dyDescent="0.3">
      <c r="A34" s="1">
        <v>45749</v>
      </c>
      <c r="B34">
        <v>2025</v>
      </c>
      <c r="C34" t="s">
        <v>79</v>
      </c>
      <c r="D34" t="s">
        <v>7</v>
      </c>
      <c r="E34" t="s">
        <v>47</v>
      </c>
      <c r="F34" t="s">
        <v>20</v>
      </c>
      <c r="G34" t="s">
        <v>48</v>
      </c>
      <c r="H34" t="s">
        <v>81</v>
      </c>
      <c r="I34" t="s">
        <v>46</v>
      </c>
      <c r="J34" t="s">
        <v>16</v>
      </c>
      <c r="K34">
        <v>103000</v>
      </c>
      <c r="L34">
        <v>48000</v>
      </c>
      <c r="M34">
        <v>55000</v>
      </c>
      <c r="N34">
        <v>8250</v>
      </c>
      <c r="O34">
        <v>46750</v>
      </c>
      <c r="P34">
        <v>101000</v>
      </c>
      <c r="Q34">
        <v>2000</v>
      </c>
      <c r="R34">
        <v>46750</v>
      </c>
    </row>
    <row r="35" spans="1:18" x14ac:dyDescent="0.3">
      <c r="A35" s="1">
        <v>45750</v>
      </c>
      <c r="B35">
        <v>2025</v>
      </c>
      <c r="C35" t="s">
        <v>79</v>
      </c>
      <c r="D35" t="s">
        <v>10</v>
      </c>
      <c r="E35" t="s">
        <v>19</v>
      </c>
      <c r="F35" t="s">
        <v>49</v>
      </c>
      <c r="G35" t="s">
        <v>24</v>
      </c>
      <c r="H35" t="s">
        <v>50</v>
      </c>
      <c r="I35" t="s">
        <v>46</v>
      </c>
      <c r="J35" t="s">
        <v>16</v>
      </c>
      <c r="K35">
        <v>76000</v>
      </c>
      <c r="L35">
        <v>32000</v>
      </c>
      <c r="M35">
        <v>44000</v>
      </c>
      <c r="N35">
        <v>6600</v>
      </c>
      <c r="O35">
        <v>37400</v>
      </c>
      <c r="P35">
        <v>74000</v>
      </c>
      <c r="Q35">
        <v>2000</v>
      </c>
      <c r="R35">
        <v>37400</v>
      </c>
    </row>
    <row r="36" spans="1:18" x14ac:dyDescent="0.3">
      <c r="A36" s="1">
        <v>45751</v>
      </c>
      <c r="B36">
        <v>2025</v>
      </c>
      <c r="C36" t="s">
        <v>79</v>
      </c>
      <c r="D36" t="s">
        <v>14</v>
      </c>
      <c r="E36" t="s">
        <v>40</v>
      </c>
      <c r="F36" t="s">
        <v>21</v>
      </c>
      <c r="G36" t="s">
        <v>41</v>
      </c>
      <c r="H36" t="s">
        <v>82</v>
      </c>
      <c r="I36" t="s">
        <v>42</v>
      </c>
      <c r="J36" t="s">
        <v>18</v>
      </c>
      <c r="K36">
        <v>89000</v>
      </c>
      <c r="L36">
        <v>46000</v>
      </c>
      <c r="M36">
        <v>43000</v>
      </c>
      <c r="N36">
        <v>6450</v>
      </c>
      <c r="O36">
        <v>36550</v>
      </c>
      <c r="P36">
        <v>87000</v>
      </c>
      <c r="Q36">
        <v>2000</v>
      </c>
      <c r="R36">
        <v>36550</v>
      </c>
    </row>
    <row r="37" spans="1:18" x14ac:dyDescent="0.3">
      <c r="A37" s="1">
        <v>45752</v>
      </c>
      <c r="B37">
        <v>2025</v>
      </c>
      <c r="C37" t="s">
        <v>79</v>
      </c>
      <c r="D37" t="s">
        <v>17</v>
      </c>
      <c r="E37" t="s">
        <v>47</v>
      </c>
      <c r="F37" t="s">
        <v>8</v>
      </c>
      <c r="G37" t="s">
        <v>53</v>
      </c>
      <c r="H37" t="s">
        <v>54</v>
      </c>
      <c r="I37" t="s">
        <v>46</v>
      </c>
      <c r="J37" t="s">
        <v>9</v>
      </c>
      <c r="K37">
        <v>112000</v>
      </c>
      <c r="L37">
        <v>52000</v>
      </c>
      <c r="M37">
        <v>60000</v>
      </c>
      <c r="N37">
        <v>9000</v>
      </c>
      <c r="O37">
        <v>51000</v>
      </c>
      <c r="P37">
        <v>110000</v>
      </c>
      <c r="Q37">
        <v>2000</v>
      </c>
      <c r="R37">
        <v>51000</v>
      </c>
    </row>
    <row r="38" spans="1:18" x14ac:dyDescent="0.3">
      <c r="A38" s="1">
        <v>45753</v>
      </c>
      <c r="B38">
        <v>2025</v>
      </c>
      <c r="C38" t="s">
        <v>79</v>
      </c>
      <c r="D38" t="s">
        <v>10</v>
      </c>
      <c r="E38" t="s">
        <v>40</v>
      </c>
      <c r="F38" t="s">
        <v>8</v>
      </c>
      <c r="G38" t="s">
        <v>41</v>
      </c>
      <c r="H38" t="s">
        <v>70</v>
      </c>
      <c r="I38" t="s">
        <v>42</v>
      </c>
      <c r="J38" t="s">
        <v>13</v>
      </c>
      <c r="K38">
        <v>92000</v>
      </c>
      <c r="L38">
        <v>43000</v>
      </c>
      <c r="M38">
        <v>49000</v>
      </c>
      <c r="N38">
        <v>7350</v>
      </c>
      <c r="O38">
        <v>41650</v>
      </c>
      <c r="P38">
        <v>90000</v>
      </c>
      <c r="Q38">
        <v>2000</v>
      </c>
      <c r="R38">
        <v>41650</v>
      </c>
    </row>
    <row r="39" spans="1:18" x14ac:dyDescent="0.3">
      <c r="A39" s="1">
        <v>45754</v>
      </c>
      <c r="B39">
        <v>2025</v>
      </c>
      <c r="C39" t="s">
        <v>79</v>
      </c>
      <c r="D39" t="s">
        <v>14</v>
      </c>
      <c r="E39" t="s">
        <v>43</v>
      </c>
      <c r="F39" t="s">
        <v>11</v>
      </c>
      <c r="G39" t="s">
        <v>44</v>
      </c>
      <c r="H39" t="s">
        <v>83</v>
      </c>
      <c r="I39" t="s">
        <v>46</v>
      </c>
      <c r="J39" t="s">
        <v>9</v>
      </c>
      <c r="K39">
        <v>98000</v>
      </c>
      <c r="L39">
        <v>46000</v>
      </c>
      <c r="M39">
        <v>52000</v>
      </c>
      <c r="N39">
        <v>7800</v>
      </c>
      <c r="O39">
        <v>44200</v>
      </c>
      <c r="P39">
        <v>96000</v>
      </c>
      <c r="Q39">
        <v>2000</v>
      </c>
      <c r="R39">
        <v>44200</v>
      </c>
    </row>
    <row r="40" spans="1:18" x14ac:dyDescent="0.3">
      <c r="A40" s="1">
        <v>45755</v>
      </c>
      <c r="B40">
        <v>2025</v>
      </c>
      <c r="C40" t="s">
        <v>79</v>
      </c>
      <c r="D40" t="s">
        <v>17</v>
      </c>
      <c r="E40" t="s">
        <v>47</v>
      </c>
      <c r="F40" t="s">
        <v>20</v>
      </c>
      <c r="G40" t="s">
        <v>48</v>
      </c>
      <c r="H40" t="s">
        <v>63</v>
      </c>
      <c r="I40" t="s">
        <v>46</v>
      </c>
      <c r="J40" t="s">
        <v>16</v>
      </c>
      <c r="K40">
        <v>105000</v>
      </c>
      <c r="L40">
        <v>49000</v>
      </c>
      <c r="M40">
        <v>56000</v>
      </c>
      <c r="N40">
        <v>8400</v>
      </c>
      <c r="O40">
        <v>47600</v>
      </c>
      <c r="P40">
        <v>103000</v>
      </c>
      <c r="Q40">
        <v>2000</v>
      </c>
      <c r="R40">
        <v>47600</v>
      </c>
    </row>
    <row r="41" spans="1:18" x14ac:dyDescent="0.3">
      <c r="A41" s="1">
        <v>45756</v>
      </c>
      <c r="B41">
        <v>2025</v>
      </c>
      <c r="C41" t="s">
        <v>79</v>
      </c>
      <c r="D41" t="s">
        <v>7</v>
      </c>
      <c r="E41" t="s">
        <v>19</v>
      </c>
      <c r="F41" t="s">
        <v>49</v>
      </c>
      <c r="G41" t="s">
        <v>24</v>
      </c>
      <c r="H41" t="s">
        <v>84</v>
      </c>
      <c r="I41" t="s">
        <v>46</v>
      </c>
      <c r="J41" t="s">
        <v>16</v>
      </c>
      <c r="K41">
        <v>78000</v>
      </c>
      <c r="L41">
        <v>34000</v>
      </c>
      <c r="M41">
        <v>44000</v>
      </c>
      <c r="N41">
        <v>6600</v>
      </c>
      <c r="O41">
        <v>37400</v>
      </c>
      <c r="P41">
        <v>76000</v>
      </c>
      <c r="Q41">
        <v>2000</v>
      </c>
      <c r="R41">
        <v>37400</v>
      </c>
    </row>
    <row r="42" spans="1:18" x14ac:dyDescent="0.3">
      <c r="A42" s="1">
        <v>45757</v>
      </c>
      <c r="B42">
        <v>2025</v>
      </c>
      <c r="C42" t="s">
        <v>79</v>
      </c>
      <c r="D42" t="s">
        <v>10</v>
      </c>
      <c r="E42" t="s">
        <v>40</v>
      </c>
      <c r="F42" t="s">
        <v>21</v>
      </c>
      <c r="G42" t="s">
        <v>41</v>
      </c>
      <c r="H42" t="s">
        <v>65</v>
      </c>
      <c r="I42" t="s">
        <v>42</v>
      </c>
      <c r="J42" t="s">
        <v>18</v>
      </c>
      <c r="K42">
        <v>86000</v>
      </c>
      <c r="L42">
        <v>45000</v>
      </c>
      <c r="M42">
        <v>41000</v>
      </c>
      <c r="N42">
        <v>6150</v>
      </c>
      <c r="O42">
        <v>34850</v>
      </c>
      <c r="P42">
        <v>84000</v>
      </c>
      <c r="Q42">
        <v>2000</v>
      </c>
      <c r="R42">
        <v>34850</v>
      </c>
    </row>
    <row r="43" spans="1:18" x14ac:dyDescent="0.3">
      <c r="A43" s="1">
        <v>45788</v>
      </c>
      <c r="B43">
        <v>2025</v>
      </c>
      <c r="C43" t="s">
        <v>85</v>
      </c>
      <c r="D43" t="s">
        <v>14</v>
      </c>
      <c r="E43" t="s">
        <v>43</v>
      </c>
      <c r="F43" t="s">
        <v>15</v>
      </c>
      <c r="G43" t="s">
        <v>52</v>
      </c>
      <c r="H43" t="s">
        <v>23</v>
      </c>
      <c r="I43" t="s">
        <v>46</v>
      </c>
      <c r="J43" t="s">
        <v>13</v>
      </c>
      <c r="K43">
        <v>79000</v>
      </c>
      <c r="L43">
        <v>35000</v>
      </c>
      <c r="M43">
        <v>44000</v>
      </c>
      <c r="N43">
        <v>6600</v>
      </c>
      <c r="O43">
        <v>37400</v>
      </c>
      <c r="P43">
        <v>77000</v>
      </c>
      <c r="Q43">
        <v>2000</v>
      </c>
      <c r="R43">
        <v>37400</v>
      </c>
    </row>
    <row r="44" spans="1:18" x14ac:dyDescent="0.3">
      <c r="A44" s="1">
        <v>45789</v>
      </c>
      <c r="B44">
        <v>2025</v>
      </c>
      <c r="C44" t="s">
        <v>85</v>
      </c>
      <c r="D44" t="s">
        <v>17</v>
      </c>
      <c r="E44" t="s">
        <v>47</v>
      </c>
      <c r="F44" t="s">
        <v>8</v>
      </c>
      <c r="G44" t="s">
        <v>53</v>
      </c>
      <c r="H44" t="s">
        <v>66</v>
      </c>
      <c r="I44" t="s">
        <v>46</v>
      </c>
      <c r="J44" t="s">
        <v>9</v>
      </c>
      <c r="K44">
        <v>115000</v>
      </c>
      <c r="L44">
        <v>54000</v>
      </c>
      <c r="M44">
        <v>61000</v>
      </c>
      <c r="N44">
        <v>9150</v>
      </c>
      <c r="O44">
        <v>51850</v>
      </c>
      <c r="P44">
        <v>112000</v>
      </c>
      <c r="Q44">
        <v>3000</v>
      </c>
      <c r="R44">
        <v>51850</v>
      </c>
    </row>
    <row r="45" spans="1:18" x14ac:dyDescent="0.3">
      <c r="A45" s="1">
        <v>45790</v>
      </c>
      <c r="B45">
        <v>2025</v>
      </c>
      <c r="C45" t="s">
        <v>85</v>
      </c>
      <c r="D45" t="s">
        <v>7</v>
      </c>
      <c r="E45" t="s">
        <v>40</v>
      </c>
      <c r="F45" t="s">
        <v>11</v>
      </c>
      <c r="G45" t="s">
        <v>55</v>
      </c>
      <c r="H45" t="s">
        <v>67</v>
      </c>
      <c r="I45" t="s">
        <v>42</v>
      </c>
      <c r="J45" t="s">
        <v>9</v>
      </c>
      <c r="K45">
        <v>84000</v>
      </c>
      <c r="L45">
        <v>38000</v>
      </c>
      <c r="M45">
        <v>46000</v>
      </c>
      <c r="N45">
        <v>6900</v>
      </c>
      <c r="O45">
        <v>39100</v>
      </c>
      <c r="P45">
        <v>82000</v>
      </c>
      <c r="Q45">
        <v>2000</v>
      </c>
      <c r="R45">
        <v>39100</v>
      </c>
    </row>
    <row r="46" spans="1:18" x14ac:dyDescent="0.3">
      <c r="A46" s="1">
        <v>45791</v>
      </c>
      <c r="B46">
        <v>2025</v>
      </c>
      <c r="C46" t="s">
        <v>85</v>
      </c>
      <c r="D46" t="s">
        <v>10</v>
      </c>
      <c r="E46" t="s">
        <v>43</v>
      </c>
      <c r="F46" t="s">
        <v>19</v>
      </c>
      <c r="G46" t="s">
        <v>57</v>
      </c>
      <c r="H46" t="s">
        <v>86</v>
      </c>
      <c r="I46" t="s">
        <v>46</v>
      </c>
      <c r="J46" t="s">
        <v>16</v>
      </c>
      <c r="K46">
        <v>120000</v>
      </c>
      <c r="L46">
        <v>58000</v>
      </c>
      <c r="M46">
        <v>62000</v>
      </c>
      <c r="N46">
        <v>9300</v>
      </c>
      <c r="O46">
        <v>52700</v>
      </c>
      <c r="P46">
        <v>118000</v>
      </c>
      <c r="Q46">
        <v>2000</v>
      </c>
      <c r="R46">
        <v>52700</v>
      </c>
    </row>
    <row r="47" spans="1:18" x14ac:dyDescent="0.3">
      <c r="A47" s="1">
        <v>45792</v>
      </c>
      <c r="B47">
        <v>2025</v>
      </c>
      <c r="C47" t="s">
        <v>85</v>
      </c>
      <c r="D47" t="s">
        <v>14</v>
      </c>
      <c r="E47" t="s">
        <v>47</v>
      </c>
      <c r="F47" t="s">
        <v>20</v>
      </c>
      <c r="G47" t="s">
        <v>58</v>
      </c>
      <c r="H47" t="s">
        <v>25</v>
      </c>
      <c r="I47" t="s">
        <v>46</v>
      </c>
      <c r="J47" t="s">
        <v>13</v>
      </c>
      <c r="K47">
        <v>97000</v>
      </c>
      <c r="L47">
        <v>42000</v>
      </c>
      <c r="M47">
        <v>55000</v>
      </c>
      <c r="N47">
        <v>8250</v>
      </c>
      <c r="O47">
        <v>46750</v>
      </c>
      <c r="P47">
        <v>95000</v>
      </c>
      <c r="Q47">
        <v>2000</v>
      </c>
      <c r="R47">
        <v>46750</v>
      </c>
    </row>
    <row r="48" spans="1:18" x14ac:dyDescent="0.3">
      <c r="A48" s="1">
        <v>45793</v>
      </c>
      <c r="B48">
        <v>2025</v>
      </c>
      <c r="C48" t="s">
        <v>85</v>
      </c>
      <c r="D48" t="s">
        <v>17</v>
      </c>
      <c r="E48" t="s">
        <v>40</v>
      </c>
      <c r="F48" t="s">
        <v>8</v>
      </c>
      <c r="G48" t="s">
        <v>41</v>
      </c>
      <c r="H48" t="s">
        <v>61</v>
      </c>
      <c r="I48" t="s">
        <v>42</v>
      </c>
      <c r="J48" t="s">
        <v>18</v>
      </c>
      <c r="K48">
        <v>89000</v>
      </c>
      <c r="L48">
        <v>41000</v>
      </c>
      <c r="M48">
        <v>48000</v>
      </c>
      <c r="N48">
        <v>7200</v>
      </c>
      <c r="O48">
        <v>40800</v>
      </c>
      <c r="P48">
        <v>87000</v>
      </c>
      <c r="Q48">
        <v>2000</v>
      </c>
      <c r="R48">
        <v>40800</v>
      </c>
    </row>
    <row r="49" spans="1:18" x14ac:dyDescent="0.3">
      <c r="A49" s="1">
        <v>45794</v>
      </c>
      <c r="B49">
        <v>2025</v>
      </c>
      <c r="C49" t="s">
        <v>85</v>
      </c>
      <c r="D49" t="s">
        <v>7</v>
      </c>
      <c r="E49" t="s">
        <v>43</v>
      </c>
      <c r="F49" t="s">
        <v>11</v>
      </c>
      <c r="G49" t="s">
        <v>44</v>
      </c>
      <c r="H49" t="s">
        <v>71</v>
      </c>
      <c r="I49" t="s">
        <v>46</v>
      </c>
      <c r="J49" t="s">
        <v>9</v>
      </c>
      <c r="K49">
        <v>102000</v>
      </c>
      <c r="L49">
        <v>47000</v>
      </c>
      <c r="M49">
        <v>55000</v>
      </c>
      <c r="N49">
        <v>8250</v>
      </c>
      <c r="O49">
        <v>46750</v>
      </c>
      <c r="P49">
        <v>100000</v>
      </c>
      <c r="Q49">
        <v>2000</v>
      </c>
      <c r="R49">
        <v>46750</v>
      </c>
    </row>
    <row r="50" spans="1:18" x14ac:dyDescent="0.3">
      <c r="A50" s="1">
        <v>45795</v>
      </c>
      <c r="B50">
        <v>2025</v>
      </c>
      <c r="C50" t="s">
        <v>85</v>
      </c>
      <c r="D50" t="s">
        <v>10</v>
      </c>
      <c r="E50" t="s">
        <v>47</v>
      </c>
      <c r="F50" t="s">
        <v>20</v>
      </c>
      <c r="G50" t="s">
        <v>48</v>
      </c>
      <c r="H50" t="s">
        <v>87</v>
      </c>
      <c r="I50" t="s">
        <v>46</v>
      </c>
      <c r="J50" t="s">
        <v>16</v>
      </c>
      <c r="K50">
        <v>108000</v>
      </c>
      <c r="L50">
        <v>50000</v>
      </c>
      <c r="M50">
        <v>58000</v>
      </c>
      <c r="N50">
        <v>8700</v>
      </c>
      <c r="O50">
        <v>49300</v>
      </c>
      <c r="P50">
        <v>106000</v>
      </c>
      <c r="Q50">
        <v>2000</v>
      </c>
      <c r="R50">
        <v>49300</v>
      </c>
    </row>
    <row r="51" spans="1:18" x14ac:dyDescent="0.3">
      <c r="A51" s="1">
        <v>45796</v>
      </c>
      <c r="B51">
        <v>2025</v>
      </c>
      <c r="C51" t="s">
        <v>85</v>
      </c>
      <c r="D51" t="s">
        <v>14</v>
      </c>
      <c r="E51" t="s">
        <v>19</v>
      </c>
      <c r="F51" t="s">
        <v>49</v>
      </c>
      <c r="G51" t="s">
        <v>24</v>
      </c>
      <c r="H51" t="s">
        <v>88</v>
      </c>
      <c r="I51" t="s">
        <v>46</v>
      </c>
      <c r="J51" t="s">
        <v>16</v>
      </c>
      <c r="K51">
        <v>82000</v>
      </c>
      <c r="L51">
        <v>36000</v>
      </c>
      <c r="M51">
        <v>46000</v>
      </c>
      <c r="N51">
        <v>6900</v>
      </c>
      <c r="O51">
        <v>39100</v>
      </c>
      <c r="P51">
        <v>80000</v>
      </c>
      <c r="Q51">
        <v>2000</v>
      </c>
      <c r="R51">
        <v>39100</v>
      </c>
    </row>
    <row r="52" spans="1:18" x14ac:dyDescent="0.3">
      <c r="A52" s="1">
        <v>45797</v>
      </c>
      <c r="B52">
        <v>2025</v>
      </c>
      <c r="C52" t="s">
        <v>85</v>
      </c>
      <c r="D52" t="s">
        <v>17</v>
      </c>
      <c r="E52" t="s">
        <v>40</v>
      </c>
      <c r="F52" t="s">
        <v>21</v>
      </c>
      <c r="G52" t="s">
        <v>41</v>
      </c>
      <c r="H52" t="s">
        <v>82</v>
      </c>
      <c r="I52" t="s">
        <v>42</v>
      </c>
      <c r="J52" t="s">
        <v>18</v>
      </c>
      <c r="K52">
        <v>91000</v>
      </c>
      <c r="L52">
        <v>47000</v>
      </c>
      <c r="M52">
        <v>44000</v>
      </c>
      <c r="N52">
        <v>6600</v>
      </c>
      <c r="O52">
        <v>37400</v>
      </c>
      <c r="P52">
        <v>89000</v>
      </c>
      <c r="Q52">
        <v>2000</v>
      </c>
      <c r="R52">
        <v>37400</v>
      </c>
    </row>
    <row r="53" spans="1:18" x14ac:dyDescent="0.3">
      <c r="A53" s="1">
        <v>45829</v>
      </c>
      <c r="B53">
        <v>2025</v>
      </c>
      <c r="C53" t="s">
        <v>89</v>
      </c>
      <c r="D53" t="s">
        <v>7</v>
      </c>
      <c r="E53" t="s">
        <v>43</v>
      </c>
      <c r="F53" t="s">
        <v>15</v>
      </c>
      <c r="G53" t="s">
        <v>52</v>
      </c>
      <c r="H53" t="s">
        <v>28</v>
      </c>
      <c r="I53" t="s">
        <v>46</v>
      </c>
      <c r="J53" t="s">
        <v>13</v>
      </c>
      <c r="K53">
        <v>83000</v>
      </c>
      <c r="L53">
        <v>36000</v>
      </c>
      <c r="M53">
        <v>47000</v>
      </c>
      <c r="N53">
        <v>7050</v>
      </c>
      <c r="O53">
        <v>39950</v>
      </c>
      <c r="P53">
        <v>81000</v>
      </c>
      <c r="Q53">
        <v>2000</v>
      </c>
      <c r="R53">
        <v>39950</v>
      </c>
    </row>
    <row r="54" spans="1:18" x14ac:dyDescent="0.3">
      <c r="A54" s="1">
        <v>45830</v>
      </c>
      <c r="B54">
        <v>2025</v>
      </c>
      <c r="C54" t="s">
        <v>89</v>
      </c>
      <c r="D54" t="s">
        <v>10</v>
      </c>
      <c r="E54" t="s">
        <v>47</v>
      </c>
      <c r="F54" t="s">
        <v>8</v>
      </c>
      <c r="G54" t="s">
        <v>53</v>
      </c>
      <c r="H54" t="s">
        <v>11</v>
      </c>
      <c r="I54" t="s">
        <v>46</v>
      </c>
      <c r="J54" t="s">
        <v>9</v>
      </c>
      <c r="K54">
        <v>118000</v>
      </c>
      <c r="L54">
        <v>55000</v>
      </c>
      <c r="M54">
        <v>63000</v>
      </c>
      <c r="N54">
        <v>9450</v>
      </c>
      <c r="O54">
        <v>53550</v>
      </c>
      <c r="P54">
        <v>115000</v>
      </c>
      <c r="Q54">
        <v>3000</v>
      </c>
      <c r="R54">
        <v>53550</v>
      </c>
    </row>
    <row r="55" spans="1:18" x14ac:dyDescent="0.3">
      <c r="A55" s="1">
        <v>45831</v>
      </c>
      <c r="B55">
        <v>2025</v>
      </c>
      <c r="C55" t="s">
        <v>89</v>
      </c>
      <c r="D55" t="s">
        <v>14</v>
      </c>
      <c r="E55" t="s">
        <v>40</v>
      </c>
      <c r="F55" t="s">
        <v>8</v>
      </c>
      <c r="G55" t="s">
        <v>41</v>
      </c>
      <c r="H55" t="s">
        <v>78</v>
      </c>
      <c r="I55" t="s">
        <v>42</v>
      </c>
      <c r="J55" t="s">
        <v>13</v>
      </c>
      <c r="K55">
        <v>87000</v>
      </c>
      <c r="L55">
        <v>40000</v>
      </c>
      <c r="M55">
        <v>47000</v>
      </c>
      <c r="N55">
        <v>7050</v>
      </c>
      <c r="O55">
        <v>39950</v>
      </c>
      <c r="P55">
        <v>85000</v>
      </c>
      <c r="Q55">
        <v>2000</v>
      </c>
      <c r="R55">
        <v>39950</v>
      </c>
    </row>
    <row r="56" spans="1:18" x14ac:dyDescent="0.3">
      <c r="A56" s="1">
        <v>45832</v>
      </c>
      <c r="B56">
        <v>2025</v>
      </c>
      <c r="C56" t="s">
        <v>89</v>
      </c>
      <c r="D56" t="s">
        <v>17</v>
      </c>
      <c r="E56" t="s">
        <v>43</v>
      </c>
      <c r="F56" t="s">
        <v>19</v>
      </c>
      <c r="G56" t="s">
        <v>57</v>
      </c>
      <c r="H56" t="s">
        <v>68</v>
      </c>
      <c r="I56" t="s">
        <v>46</v>
      </c>
      <c r="J56" t="s">
        <v>16</v>
      </c>
      <c r="K56">
        <v>125000</v>
      </c>
      <c r="L56">
        <v>60000</v>
      </c>
      <c r="M56">
        <v>65000</v>
      </c>
      <c r="N56">
        <v>9750</v>
      </c>
      <c r="O56">
        <v>55250</v>
      </c>
      <c r="P56">
        <v>122000</v>
      </c>
      <c r="Q56">
        <v>3000</v>
      </c>
      <c r="R56">
        <v>55250</v>
      </c>
    </row>
    <row r="57" spans="1:18" x14ac:dyDescent="0.3">
      <c r="A57" s="1">
        <v>45833</v>
      </c>
      <c r="B57">
        <v>2025</v>
      </c>
      <c r="C57" t="s">
        <v>89</v>
      </c>
      <c r="D57" t="s">
        <v>7</v>
      </c>
      <c r="E57" t="s">
        <v>47</v>
      </c>
      <c r="F57" t="s">
        <v>20</v>
      </c>
      <c r="G57" t="s">
        <v>58</v>
      </c>
      <c r="H57" t="s">
        <v>77</v>
      </c>
      <c r="I57" t="s">
        <v>46</v>
      </c>
      <c r="J57" t="s">
        <v>9</v>
      </c>
      <c r="K57">
        <v>101000</v>
      </c>
      <c r="L57">
        <v>46000</v>
      </c>
      <c r="M57">
        <v>55000</v>
      </c>
      <c r="N57">
        <v>8250</v>
      </c>
      <c r="O57">
        <v>46750</v>
      </c>
      <c r="P57">
        <v>99000</v>
      </c>
      <c r="Q57">
        <v>2000</v>
      </c>
      <c r="R57">
        <v>46750</v>
      </c>
    </row>
    <row r="58" spans="1:18" x14ac:dyDescent="0.3">
      <c r="A58" s="1">
        <v>45834</v>
      </c>
      <c r="B58">
        <v>2025</v>
      </c>
      <c r="C58" t="s">
        <v>89</v>
      </c>
      <c r="D58" t="s">
        <v>10</v>
      </c>
      <c r="E58" t="s">
        <v>40</v>
      </c>
      <c r="F58" t="s">
        <v>11</v>
      </c>
      <c r="G58" t="s">
        <v>55</v>
      </c>
      <c r="H58" t="s">
        <v>80</v>
      </c>
      <c r="I58" t="s">
        <v>42</v>
      </c>
      <c r="J58" t="s">
        <v>9</v>
      </c>
      <c r="K58">
        <v>88000</v>
      </c>
      <c r="L58">
        <v>39000</v>
      </c>
      <c r="M58">
        <v>49000</v>
      </c>
      <c r="N58">
        <v>7350</v>
      </c>
      <c r="O58">
        <v>41650</v>
      </c>
      <c r="P58">
        <v>86000</v>
      </c>
      <c r="Q58">
        <v>2000</v>
      </c>
      <c r="R58">
        <v>41650</v>
      </c>
    </row>
    <row r="59" spans="1:18" x14ac:dyDescent="0.3">
      <c r="A59" s="1">
        <v>45835</v>
      </c>
      <c r="B59">
        <v>2025</v>
      </c>
      <c r="C59" t="s">
        <v>89</v>
      </c>
      <c r="D59" t="s">
        <v>14</v>
      </c>
      <c r="E59" t="s">
        <v>43</v>
      </c>
      <c r="F59" t="s">
        <v>15</v>
      </c>
      <c r="G59" t="s">
        <v>52</v>
      </c>
      <c r="H59" t="s">
        <v>75</v>
      </c>
      <c r="I59" t="s">
        <v>46</v>
      </c>
      <c r="J59" t="s">
        <v>13</v>
      </c>
      <c r="K59">
        <v>84000</v>
      </c>
      <c r="L59">
        <v>37000</v>
      </c>
      <c r="M59">
        <v>47000</v>
      </c>
      <c r="N59">
        <v>7050</v>
      </c>
      <c r="O59">
        <v>39950</v>
      </c>
      <c r="P59">
        <v>82000</v>
      </c>
      <c r="Q59">
        <v>2000</v>
      </c>
      <c r="R59">
        <v>39950</v>
      </c>
    </row>
    <row r="60" spans="1:18" x14ac:dyDescent="0.3">
      <c r="A60" s="1">
        <v>45836</v>
      </c>
      <c r="B60">
        <v>2025</v>
      </c>
      <c r="C60" t="s">
        <v>89</v>
      </c>
      <c r="D60" t="s">
        <v>17</v>
      </c>
      <c r="E60" t="s">
        <v>47</v>
      </c>
      <c r="F60" t="s">
        <v>20</v>
      </c>
      <c r="G60" t="s">
        <v>48</v>
      </c>
      <c r="H60" t="s">
        <v>81</v>
      </c>
      <c r="I60" t="s">
        <v>46</v>
      </c>
      <c r="J60" t="s">
        <v>16</v>
      </c>
      <c r="K60">
        <v>110000</v>
      </c>
      <c r="L60">
        <v>52000</v>
      </c>
      <c r="M60">
        <v>58000</v>
      </c>
      <c r="N60">
        <v>8700</v>
      </c>
      <c r="O60">
        <v>49300</v>
      </c>
      <c r="P60">
        <v>108000</v>
      </c>
      <c r="Q60">
        <v>2000</v>
      </c>
      <c r="R60">
        <v>49300</v>
      </c>
    </row>
    <row r="61" spans="1:18" x14ac:dyDescent="0.3">
      <c r="A61" s="1">
        <v>45837</v>
      </c>
      <c r="B61">
        <v>2025</v>
      </c>
      <c r="C61" t="s">
        <v>89</v>
      </c>
      <c r="D61" t="s">
        <v>7</v>
      </c>
      <c r="E61" t="s">
        <v>19</v>
      </c>
      <c r="F61" t="s">
        <v>49</v>
      </c>
      <c r="G61" t="s">
        <v>24</v>
      </c>
      <c r="H61" t="s">
        <v>50</v>
      </c>
      <c r="I61" t="s">
        <v>46</v>
      </c>
      <c r="J61" t="s">
        <v>16</v>
      </c>
      <c r="K61">
        <v>90000</v>
      </c>
      <c r="L61">
        <v>38000</v>
      </c>
      <c r="M61">
        <v>52000</v>
      </c>
      <c r="N61">
        <v>7800</v>
      </c>
      <c r="O61">
        <v>44200</v>
      </c>
      <c r="P61">
        <v>88000</v>
      </c>
      <c r="Q61">
        <v>2000</v>
      </c>
      <c r="R61">
        <v>44200</v>
      </c>
    </row>
    <row r="62" spans="1:18" x14ac:dyDescent="0.3">
      <c r="A62" s="1">
        <v>45838</v>
      </c>
      <c r="B62">
        <v>2025</v>
      </c>
      <c r="C62" t="s">
        <v>89</v>
      </c>
      <c r="D62" t="s">
        <v>10</v>
      </c>
      <c r="E62" t="s">
        <v>40</v>
      </c>
      <c r="F62" t="s">
        <v>21</v>
      </c>
      <c r="G62" t="s">
        <v>41</v>
      </c>
      <c r="H62" t="s">
        <v>74</v>
      </c>
      <c r="I62" t="s">
        <v>42</v>
      </c>
      <c r="J62" t="s">
        <v>18</v>
      </c>
      <c r="K62">
        <v>93000</v>
      </c>
      <c r="L62">
        <v>48000</v>
      </c>
      <c r="M62">
        <v>45000</v>
      </c>
      <c r="N62">
        <v>6750</v>
      </c>
      <c r="O62">
        <v>38250</v>
      </c>
      <c r="P62">
        <v>91000</v>
      </c>
      <c r="Q62">
        <v>2000</v>
      </c>
      <c r="R62">
        <v>38250</v>
      </c>
    </row>
    <row r="63" spans="1:18" x14ac:dyDescent="0.3">
      <c r="A63" s="1">
        <v>45839</v>
      </c>
      <c r="B63">
        <v>2025</v>
      </c>
      <c r="C63" t="s">
        <v>90</v>
      </c>
      <c r="D63" t="s">
        <v>14</v>
      </c>
      <c r="E63" t="s">
        <v>47</v>
      </c>
      <c r="F63" t="s">
        <v>8</v>
      </c>
      <c r="G63" t="s">
        <v>53</v>
      </c>
      <c r="H63" t="s">
        <v>54</v>
      </c>
      <c r="I63" t="s">
        <v>46</v>
      </c>
      <c r="J63" t="s">
        <v>9</v>
      </c>
      <c r="K63">
        <v>122000</v>
      </c>
      <c r="L63">
        <v>57000</v>
      </c>
      <c r="M63">
        <v>65000</v>
      </c>
      <c r="N63">
        <v>9750</v>
      </c>
      <c r="O63">
        <v>55250</v>
      </c>
      <c r="P63">
        <v>120000</v>
      </c>
      <c r="Q63">
        <v>2000</v>
      </c>
      <c r="R63">
        <v>55250</v>
      </c>
    </row>
    <row r="64" spans="1:18" x14ac:dyDescent="0.3">
      <c r="A64" s="1">
        <v>45840</v>
      </c>
      <c r="B64">
        <v>2025</v>
      </c>
      <c r="C64" t="s">
        <v>90</v>
      </c>
      <c r="D64" t="s">
        <v>17</v>
      </c>
      <c r="E64" t="s">
        <v>43</v>
      </c>
      <c r="F64" t="s">
        <v>11</v>
      </c>
      <c r="G64" t="s">
        <v>44</v>
      </c>
      <c r="H64" t="s">
        <v>91</v>
      </c>
      <c r="I64" t="s">
        <v>46</v>
      </c>
      <c r="J64" t="s">
        <v>9</v>
      </c>
      <c r="K64">
        <v>96000</v>
      </c>
      <c r="L64">
        <v>44000</v>
      </c>
      <c r="M64">
        <v>52000</v>
      </c>
      <c r="N64">
        <v>7800</v>
      </c>
      <c r="O64">
        <v>44200</v>
      </c>
      <c r="P64">
        <v>94000</v>
      </c>
      <c r="Q64">
        <v>2000</v>
      </c>
      <c r="R64">
        <v>44200</v>
      </c>
    </row>
    <row r="65" spans="1:18" x14ac:dyDescent="0.3">
      <c r="A65" s="1">
        <v>45841</v>
      </c>
      <c r="B65">
        <v>2025</v>
      </c>
      <c r="C65" t="s">
        <v>90</v>
      </c>
      <c r="D65" t="s">
        <v>7</v>
      </c>
      <c r="E65" t="s">
        <v>40</v>
      </c>
      <c r="F65" t="s">
        <v>8</v>
      </c>
      <c r="G65" t="s">
        <v>41</v>
      </c>
      <c r="H65" t="s">
        <v>92</v>
      </c>
      <c r="I65" t="s">
        <v>42</v>
      </c>
      <c r="J65" t="s">
        <v>13</v>
      </c>
      <c r="K65">
        <v>90000</v>
      </c>
      <c r="L65">
        <v>42000</v>
      </c>
      <c r="M65">
        <v>48000</v>
      </c>
      <c r="N65">
        <v>7200</v>
      </c>
      <c r="O65">
        <v>40800</v>
      </c>
      <c r="P65">
        <v>88000</v>
      </c>
      <c r="Q65">
        <v>2000</v>
      </c>
      <c r="R65">
        <v>40800</v>
      </c>
    </row>
    <row r="66" spans="1:18" x14ac:dyDescent="0.3">
      <c r="A66" s="1">
        <v>45842</v>
      </c>
      <c r="B66">
        <v>2025</v>
      </c>
      <c r="C66" t="s">
        <v>90</v>
      </c>
      <c r="D66" t="s">
        <v>10</v>
      </c>
      <c r="E66" t="s">
        <v>47</v>
      </c>
      <c r="F66" t="s">
        <v>20</v>
      </c>
      <c r="G66" t="s">
        <v>48</v>
      </c>
      <c r="H66" t="s">
        <v>59</v>
      </c>
      <c r="I66" t="s">
        <v>46</v>
      </c>
      <c r="J66" t="s">
        <v>16</v>
      </c>
      <c r="K66">
        <v>107000</v>
      </c>
      <c r="L66">
        <v>50000</v>
      </c>
      <c r="M66">
        <v>57000</v>
      </c>
      <c r="N66">
        <v>8550</v>
      </c>
      <c r="O66">
        <v>48450</v>
      </c>
      <c r="P66">
        <v>105000</v>
      </c>
      <c r="Q66">
        <v>2000</v>
      </c>
      <c r="R66">
        <v>48450</v>
      </c>
    </row>
    <row r="67" spans="1:18" x14ac:dyDescent="0.3">
      <c r="A67" s="1">
        <v>45843</v>
      </c>
      <c r="B67">
        <v>2025</v>
      </c>
      <c r="C67" t="s">
        <v>90</v>
      </c>
      <c r="D67" t="s">
        <v>14</v>
      </c>
      <c r="E67" t="s">
        <v>19</v>
      </c>
      <c r="F67" t="s">
        <v>49</v>
      </c>
      <c r="G67" t="s">
        <v>24</v>
      </c>
      <c r="H67" t="s">
        <v>93</v>
      </c>
      <c r="I67" t="s">
        <v>46</v>
      </c>
      <c r="J67" t="s">
        <v>16</v>
      </c>
      <c r="K67">
        <v>85000</v>
      </c>
      <c r="L67">
        <v>36000</v>
      </c>
      <c r="M67">
        <v>49000</v>
      </c>
      <c r="N67">
        <v>7350</v>
      </c>
      <c r="O67">
        <v>41650</v>
      </c>
      <c r="P67">
        <v>83000</v>
      </c>
      <c r="Q67">
        <v>2000</v>
      </c>
      <c r="R67">
        <v>41650</v>
      </c>
    </row>
    <row r="68" spans="1:18" x14ac:dyDescent="0.3">
      <c r="A68" s="1">
        <v>45844</v>
      </c>
      <c r="B68">
        <v>2025</v>
      </c>
      <c r="C68" t="s">
        <v>90</v>
      </c>
      <c r="D68" t="s">
        <v>17</v>
      </c>
      <c r="E68" t="s">
        <v>40</v>
      </c>
      <c r="F68" t="s">
        <v>21</v>
      </c>
      <c r="G68" t="s">
        <v>41</v>
      </c>
      <c r="H68" t="s">
        <v>94</v>
      </c>
      <c r="I68" t="s">
        <v>42</v>
      </c>
      <c r="J68" t="s">
        <v>18</v>
      </c>
      <c r="K68">
        <v>94000</v>
      </c>
      <c r="L68">
        <v>47000</v>
      </c>
      <c r="M68">
        <v>47000</v>
      </c>
      <c r="N68">
        <v>7050</v>
      </c>
      <c r="O68">
        <v>39950</v>
      </c>
      <c r="P68">
        <v>92000</v>
      </c>
      <c r="Q68">
        <v>2000</v>
      </c>
      <c r="R68">
        <v>39950</v>
      </c>
    </row>
    <row r="69" spans="1:18" x14ac:dyDescent="0.3">
      <c r="A69" s="1">
        <v>45845</v>
      </c>
      <c r="B69">
        <v>2025</v>
      </c>
      <c r="C69" t="s">
        <v>90</v>
      </c>
      <c r="D69" t="s">
        <v>7</v>
      </c>
      <c r="E69" t="s">
        <v>43</v>
      </c>
      <c r="F69" t="s">
        <v>15</v>
      </c>
      <c r="G69" t="s">
        <v>52</v>
      </c>
      <c r="H69" t="s">
        <v>28</v>
      </c>
      <c r="I69" t="s">
        <v>46</v>
      </c>
      <c r="J69" t="s">
        <v>13</v>
      </c>
      <c r="K69">
        <v>86000</v>
      </c>
      <c r="L69">
        <v>38000</v>
      </c>
      <c r="M69">
        <v>48000</v>
      </c>
      <c r="N69">
        <v>7200</v>
      </c>
      <c r="O69">
        <v>40800</v>
      </c>
      <c r="P69">
        <v>84000</v>
      </c>
      <c r="Q69">
        <v>2000</v>
      </c>
      <c r="R69">
        <v>40800</v>
      </c>
    </row>
    <row r="70" spans="1:18" x14ac:dyDescent="0.3">
      <c r="A70" s="1">
        <v>45846</v>
      </c>
      <c r="B70">
        <v>2025</v>
      </c>
      <c r="C70" t="s">
        <v>90</v>
      </c>
      <c r="D70" t="s">
        <v>10</v>
      </c>
      <c r="E70" t="s">
        <v>47</v>
      </c>
      <c r="F70" t="s">
        <v>8</v>
      </c>
      <c r="G70" t="s">
        <v>53</v>
      </c>
      <c r="H70" t="s">
        <v>11</v>
      </c>
      <c r="I70" t="s">
        <v>46</v>
      </c>
      <c r="J70" t="s">
        <v>9</v>
      </c>
      <c r="K70">
        <v>125000</v>
      </c>
      <c r="L70">
        <v>58000</v>
      </c>
      <c r="M70">
        <v>67000</v>
      </c>
      <c r="N70">
        <v>10050</v>
      </c>
      <c r="O70">
        <v>56950</v>
      </c>
      <c r="P70">
        <v>123000</v>
      </c>
      <c r="Q70">
        <v>2000</v>
      </c>
      <c r="R70">
        <v>56950</v>
      </c>
    </row>
    <row r="71" spans="1:18" x14ac:dyDescent="0.3">
      <c r="A71" s="1">
        <v>45847</v>
      </c>
      <c r="B71">
        <v>2025</v>
      </c>
      <c r="C71" t="s">
        <v>90</v>
      </c>
      <c r="D71" t="s">
        <v>14</v>
      </c>
      <c r="E71" t="s">
        <v>19</v>
      </c>
      <c r="F71" t="s">
        <v>49</v>
      </c>
      <c r="G71" t="s">
        <v>24</v>
      </c>
      <c r="H71" t="s">
        <v>73</v>
      </c>
      <c r="I71" t="s">
        <v>46</v>
      </c>
      <c r="J71" t="s">
        <v>16</v>
      </c>
      <c r="K71">
        <v>89000</v>
      </c>
      <c r="L71">
        <v>37000</v>
      </c>
      <c r="M71">
        <v>52000</v>
      </c>
      <c r="N71">
        <v>7800</v>
      </c>
      <c r="O71">
        <v>44200</v>
      </c>
      <c r="P71">
        <v>87000</v>
      </c>
      <c r="Q71">
        <v>2000</v>
      </c>
      <c r="R71">
        <v>44200</v>
      </c>
    </row>
    <row r="72" spans="1:18" x14ac:dyDescent="0.3">
      <c r="A72" s="1">
        <v>45848</v>
      </c>
      <c r="B72">
        <v>2025</v>
      </c>
      <c r="C72" t="s">
        <v>90</v>
      </c>
      <c r="D72" t="s">
        <v>17</v>
      </c>
      <c r="E72" t="s">
        <v>43</v>
      </c>
      <c r="F72" t="s">
        <v>11</v>
      </c>
      <c r="G72" t="s">
        <v>44</v>
      </c>
      <c r="H72" t="s">
        <v>80</v>
      </c>
      <c r="I72" t="s">
        <v>46</v>
      </c>
      <c r="J72" t="s">
        <v>9</v>
      </c>
      <c r="K72">
        <v>98000</v>
      </c>
      <c r="L72">
        <v>45000</v>
      </c>
      <c r="M72">
        <v>53000</v>
      </c>
      <c r="N72">
        <v>7950</v>
      </c>
      <c r="O72">
        <v>45050</v>
      </c>
      <c r="P72">
        <v>96000</v>
      </c>
      <c r="Q72">
        <v>2000</v>
      </c>
      <c r="R72">
        <v>45050</v>
      </c>
    </row>
    <row r="73" spans="1:18" x14ac:dyDescent="0.3">
      <c r="A73" s="1">
        <v>45880</v>
      </c>
      <c r="B73">
        <v>2025</v>
      </c>
      <c r="C73" t="s">
        <v>95</v>
      </c>
      <c r="D73" t="s">
        <v>7</v>
      </c>
      <c r="E73" t="s">
        <v>40</v>
      </c>
      <c r="F73" t="s">
        <v>8</v>
      </c>
      <c r="G73" t="s">
        <v>41</v>
      </c>
      <c r="H73" t="s">
        <v>92</v>
      </c>
      <c r="I73" t="s">
        <v>42</v>
      </c>
      <c r="J73" t="s">
        <v>13</v>
      </c>
      <c r="K73">
        <v>92000</v>
      </c>
      <c r="L73">
        <v>43000</v>
      </c>
      <c r="M73">
        <v>49000</v>
      </c>
      <c r="N73">
        <v>7350</v>
      </c>
      <c r="O73">
        <v>41650</v>
      </c>
      <c r="P73">
        <v>90000</v>
      </c>
      <c r="Q73">
        <v>2000</v>
      </c>
      <c r="R73">
        <v>41650</v>
      </c>
    </row>
    <row r="74" spans="1:18" x14ac:dyDescent="0.3">
      <c r="A74" s="1">
        <v>45881</v>
      </c>
      <c r="B74">
        <v>2025</v>
      </c>
      <c r="C74" t="s">
        <v>95</v>
      </c>
      <c r="D74" t="s">
        <v>10</v>
      </c>
      <c r="E74" t="s">
        <v>47</v>
      </c>
      <c r="F74" t="s">
        <v>20</v>
      </c>
      <c r="G74" t="s">
        <v>48</v>
      </c>
      <c r="H74" t="s">
        <v>63</v>
      </c>
      <c r="I74" t="s">
        <v>46</v>
      </c>
      <c r="J74" t="s">
        <v>16</v>
      </c>
      <c r="K74">
        <v>110000</v>
      </c>
      <c r="L74">
        <v>52000</v>
      </c>
      <c r="M74">
        <v>58000</v>
      </c>
      <c r="N74">
        <v>8700</v>
      </c>
      <c r="O74">
        <v>49300</v>
      </c>
      <c r="P74">
        <v>108000</v>
      </c>
      <c r="Q74">
        <v>2000</v>
      </c>
      <c r="R74">
        <v>49300</v>
      </c>
    </row>
    <row r="75" spans="1:18" x14ac:dyDescent="0.3">
      <c r="A75" s="1">
        <v>45882</v>
      </c>
      <c r="B75">
        <v>2025</v>
      </c>
      <c r="C75" t="s">
        <v>95</v>
      </c>
      <c r="D75" t="s">
        <v>14</v>
      </c>
      <c r="E75" t="s">
        <v>43</v>
      </c>
      <c r="F75" t="s">
        <v>19</v>
      </c>
      <c r="G75" t="s">
        <v>57</v>
      </c>
      <c r="H75" t="s">
        <v>68</v>
      </c>
      <c r="I75" t="s">
        <v>46</v>
      </c>
      <c r="J75" t="s">
        <v>16</v>
      </c>
      <c r="K75">
        <v>128000</v>
      </c>
      <c r="L75">
        <v>61000</v>
      </c>
      <c r="M75">
        <v>67000</v>
      </c>
      <c r="N75">
        <v>10050</v>
      </c>
      <c r="O75">
        <v>56950</v>
      </c>
      <c r="P75">
        <v>125000</v>
      </c>
      <c r="Q75">
        <v>3000</v>
      </c>
      <c r="R75">
        <v>56950</v>
      </c>
    </row>
    <row r="76" spans="1:18" x14ac:dyDescent="0.3">
      <c r="A76" s="1">
        <v>45883</v>
      </c>
      <c r="B76">
        <v>2025</v>
      </c>
      <c r="C76" t="s">
        <v>95</v>
      </c>
      <c r="D76" t="s">
        <v>17</v>
      </c>
      <c r="E76" t="s">
        <v>40</v>
      </c>
      <c r="F76" t="s">
        <v>21</v>
      </c>
      <c r="G76" t="s">
        <v>41</v>
      </c>
      <c r="H76" t="s">
        <v>65</v>
      </c>
      <c r="I76" t="s">
        <v>42</v>
      </c>
      <c r="J76" t="s">
        <v>18</v>
      </c>
      <c r="K76">
        <v>95000</v>
      </c>
      <c r="L76">
        <v>48000</v>
      </c>
      <c r="M76">
        <v>47000</v>
      </c>
      <c r="N76">
        <v>7050</v>
      </c>
      <c r="O76">
        <v>39950</v>
      </c>
      <c r="P76">
        <v>93000</v>
      </c>
      <c r="Q76">
        <v>2000</v>
      </c>
      <c r="R76">
        <v>39950</v>
      </c>
    </row>
    <row r="77" spans="1:18" x14ac:dyDescent="0.3">
      <c r="A77" s="1">
        <v>45884</v>
      </c>
      <c r="B77">
        <v>2025</v>
      </c>
      <c r="C77" t="s">
        <v>95</v>
      </c>
      <c r="D77" t="s">
        <v>7</v>
      </c>
      <c r="E77" t="s">
        <v>47</v>
      </c>
      <c r="F77" t="s">
        <v>8</v>
      </c>
      <c r="G77" t="s">
        <v>53</v>
      </c>
      <c r="H77" t="s">
        <v>54</v>
      </c>
      <c r="I77" t="s">
        <v>46</v>
      </c>
      <c r="J77" t="s">
        <v>9</v>
      </c>
      <c r="K77">
        <v>135000</v>
      </c>
      <c r="L77">
        <v>63000</v>
      </c>
      <c r="M77">
        <v>72000</v>
      </c>
      <c r="N77">
        <v>10800</v>
      </c>
      <c r="O77">
        <v>61200</v>
      </c>
      <c r="P77">
        <v>132000</v>
      </c>
      <c r="Q77">
        <v>3000</v>
      </c>
      <c r="R77">
        <v>61200</v>
      </c>
    </row>
    <row r="78" spans="1:18" x14ac:dyDescent="0.3">
      <c r="A78" s="1">
        <v>45885</v>
      </c>
      <c r="B78">
        <v>2025</v>
      </c>
      <c r="C78" t="s">
        <v>95</v>
      </c>
      <c r="D78" t="s">
        <v>10</v>
      </c>
      <c r="E78" t="s">
        <v>43</v>
      </c>
      <c r="F78" t="s">
        <v>15</v>
      </c>
      <c r="G78" t="s">
        <v>52</v>
      </c>
      <c r="H78" t="s">
        <v>23</v>
      </c>
      <c r="I78" t="s">
        <v>46</v>
      </c>
      <c r="J78" t="s">
        <v>13</v>
      </c>
      <c r="K78">
        <v>88000</v>
      </c>
      <c r="L78">
        <v>39000</v>
      </c>
      <c r="M78">
        <v>49000</v>
      </c>
      <c r="N78">
        <v>7350</v>
      </c>
      <c r="O78">
        <v>41650</v>
      </c>
      <c r="P78">
        <v>86000</v>
      </c>
      <c r="Q78">
        <v>2000</v>
      </c>
      <c r="R78">
        <v>41650</v>
      </c>
    </row>
    <row r="79" spans="1:18" x14ac:dyDescent="0.3">
      <c r="A79" s="1">
        <v>45886</v>
      </c>
      <c r="B79">
        <v>2025</v>
      </c>
      <c r="C79" t="s">
        <v>95</v>
      </c>
      <c r="D79" t="s">
        <v>14</v>
      </c>
      <c r="E79" t="s">
        <v>19</v>
      </c>
      <c r="F79" t="s">
        <v>49</v>
      </c>
      <c r="G79" t="s">
        <v>24</v>
      </c>
      <c r="H79" t="s">
        <v>50</v>
      </c>
      <c r="I79" t="s">
        <v>46</v>
      </c>
      <c r="J79" t="s">
        <v>16</v>
      </c>
      <c r="K79">
        <v>92000</v>
      </c>
      <c r="L79">
        <v>40000</v>
      </c>
      <c r="M79">
        <v>52000</v>
      </c>
      <c r="N79">
        <v>7800</v>
      </c>
      <c r="O79">
        <v>44200</v>
      </c>
      <c r="P79">
        <v>90000</v>
      </c>
      <c r="Q79">
        <v>2000</v>
      </c>
      <c r="R79">
        <v>44200</v>
      </c>
    </row>
    <row r="80" spans="1:18" x14ac:dyDescent="0.3">
      <c r="A80" s="1">
        <v>45887</v>
      </c>
      <c r="B80">
        <v>2025</v>
      </c>
      <c r="C80" t="s">
        <v>95</v>
      </c>
      <c r="D80" t="s">
        <v>17</v>
      </c>
      <c r="E80" t="s">
        <v>47</v>
      </c>
      <c r="F80" t="s">
        <v>20</v>
      </c>
      <c r="G80" t="s">
        <v>58</v>
      </c>
      <c r="H80" t="s">
        <v>77</v>
      </c>
      <c r="I80" t="s">
        <v>46</v>
      </c>
      <c r="J80" t="s">
        <v>9</v>
      </c>
      <c r="K80">
        <v>118000</v>
      </c>
      <c r="L80">
        <v>54000</v>
      </c>
      <c r="M80">
        <v>64000</v>
      </c>
      <c r="N80">
        <v>9600</v>
      </c>
      <c r="O80">
        <v>54400</v>
      </c>
      <c r="P80">
        <v>116000</v>
      </c>
      <c r="Q80">
        <v>2000</v>
      </c>
      <c r="R80">
        <v>54400</v>
      </c>
    </row>
    <row r="81" spans="1:18" x14ac:dyDescent="0.3">
      <c r="A81" s="1">
        <v>45888</v>
      </c>
      <c r="B81">
        <v>2025</v>
      </c>
      <c r="C81" t="s">
        <v>95</v>
      </c>
      <c r="D81" t="s">
        <v>7</v>
      </c>
      <c r="E81" t="s">
        <v>40</v>
      </c>
      <c r="F81" t="s">
        <v>11</v>
      </c>
      <c r="G81" t="s">
        <v>55</v>
      </c>
      <c r="H81" t="s">
        <v>67</v>
      </c>
      <c r="I81" t="s">
        <v>42</v>
      </c>
      <c r="J81" t="s">
        <v>9</v>
      </c>
      <c r="K81">
        <v>90000</v>
      </c>
      <c r="L81">
        <v>42000</v>
      </c>
      <c r="M81">
        <v>48000</v>
      </c>
      <c r="N81">
        <v>7200</v>
      </c>
      <c r="O81">
        <v>40800</v>
      </c>
      <c r="P81">
        <v>88000</v>
      </c>
      <c r="Q81">
        <v>2000</v>
      </c>
      <c r="R81">
        <v>40800</v>
      </c>
    </row>
    <row r="82" spans="1:18" x14ac:dyDescent="0.3">
      <c r="A82" s="1">
        <v>45889</v>
      </c>
      <c r="B82">
        <v>2025</v>
      </c>
      <c r="C82" t="s">
        <v>95</v>
      </c>
      <c r="D82" t="s">
        <v>10</v>
      </c>
      <c r="E82" t="s">
        <v>43</v>
      </c>
      <c r="F82" t="s">
        <v>19</v>
      </c>
      <c r="G82" t="s">
        <v>57</v>
      </c>
      <c r="H82" t="s">
        <v>86</v>
      </c>
      <c r="I82" t="s">
        <v>46</v>
      </c>
      <c r="J82" t="s">
        <v>16</v>
      </c>
      <c r="K82">
        <v>132000</v>
      </c>
      <c r="L82">
        <v>64000</v>
      </c>
      <c r="M82">
        <v>68000</v>
      </c>
      <c r="N82">
        <v>10200</v>
      </c>
      <c r="O82">
        <v>57800</v>
      </c>
      <c r="P82">
        <v>130000</v>
      </c>
      <c r="Q82">
        <v>2000</v>
      </c>
      <c r="R82">
        <v>57800</v>
      </c>
    </row>
    <row r="83" spans="1:18" x14ac:dyDescent="0.3">
      <c r="A83" s="1">
        <v>45921</v>
      </c>
      <c r="B83">
        <v>2025</v>
      </c>
      <c r="C83" t="s">
        <v>96</v>
      </c>
      <c r="D83" t="s">
        <v>14</v>
      </c>
      <c r="E83" t="s">
        <v>47</v>
      </c>
      <c r="F83" t="s">
        <v>8</v>
      </c>
      <c r="G83" t="s">
        <v>53</v>
      </c>
      <c r="H83" t="s">
        <v>11</v>
      </c>
      <c r="I83" t="s">
        <v>46</v>
      </c>
      <c r="J83" t="s">
        <v>9</v>
      </c>
      <c r="K83">
        <v>140000</v>
      </c>
      <c r="L83">
        <v>66000</v>
      </c>
      <c r="M83">
        <v>74000</v>
      </c>
      <c r="N83">
        <v>11100</v>
      </c>
      <c r="O83">
        <v>62900</v>
      </c>
      <c r="P83">
        <v>138000</v>
      </c>
      <c r="Q83">
        <v>2000</v>
      </c>
      <c r="R83">
        <v>62900</v>
      </c>
    </row>
    <row r="84" spans="1:18" x14ac:dyDescent="0.3">
      <c r="A84" s="1">
        <v>45922</v>
      </c>
      <c r="B84">
        <v>2025</v>
      </c>
      <c r="C84" t="s">
        <v>96</v>
      </c>
      <c r="D84" t="s">
        <v>17</v>
      </c>
      <c r="E84" t="s">
        <v>40</v>
      </c>
      <c r="F84" t="s">
        <v>8</v>
      </c>
      <c r="G84" t="s">
        <v>41</v>
      </c>
      <c r="H84" t="s">
        <v>78</v>
      </c>
      <c r="I84" t="s">
        <v>42</v>
      </c>
      <c r="J84" t="s">
        <v>13</v>
      </c>
      <c r="K84">
        <v>98000</v>
      </c>
      <c r="L84">
        <v>45000</v>
      </c>
      <c r="M84">
        <v>53000</v>
      </c>
      <c r="N84">
        <v>7950</v>
      </c>
      <c r="O84">
        <v>45050</v>
      </c>
      <c r="P84">
        <v>96000</v>
      </c>
      <c r="Q84">
        <v>2000</v>
      </c>
      <c r="R84">
        <v>45050</v>
      </c>
    </row>
    <row r="85" spans="1:18" x14ac:dyDescent="0.3">
      <c r="A85" s="1">
        <v>45923</v>
      </c>
      <c r="B85">
        <v>2025</v>
      </c>
      <c r="C85" t="s">
        <v>96</v>
      </c>
      <c r="D85" t="s">
        <v>7</v>
      </c>
      <c r="E85" t="s">
        <v>43</v>
      </c>
      <c r="F85" t="s">
        <v>15</v>
      </c>
      <c r="G85" t="s">
        <v>52</v>
      </c>
      <c r="H85" t="s">
        <v>75</v>
      </c>
      <c r="I85" t="s">
        <v>46</v>
      </c>
      <c r="J85" t="s">
        <v>13</v>
      </c>
      <c r="K85">
        <v>91000</v>
      </c>
      <c r="L85">
        <v>41000</v>
      </c>
      <c r="M85">
        <v>50000</v>
      </c>
      <c r="N85">
        <v>7500</v>
      </c>
      <c r="O85">
        <v>42500</v>
      </c>
      <c r="P85">
        <v>89000</v>
      </c>
      <c r="Q85">
        <v>2000</v>
      </c>
      <c r="R85">
        <v>42500</v>
      </c>
    </row>
    <row r="86" spans="1:18" x14ac:dyDescent="0.3">
      <c r="A86" s="1">
        <v>45924</v>
      </c>
      <c r="B86">
        <v>2025</v>
      </c>
      <c r="C86" t="s">
        <v>96</v>
      </c>
      <c r="D86" t="s">
        <v>10</v>
      </c>
      <c r="E86" t="s">
        <v>47</v>
      </c>
      <c r="F86" t="s">
        <v>20</v>
      </c>
      <c r="G86" t="s">
        <v>48</v>
      </c>
      <c r="H86" t="s">
        <v>87</v>
      </c>
      <c r="I86" t="s">
        <v>46</v>
      </c>
      <c r="J86" t="s">
        <v>16</v>
      </c>
      <c r="K86">
        <v>122000</v>
      </c>
      <c r="L86">
        <v>56000</v>
      </c>
      <c r="M86">
        <v>66000</v>
      </c>
      <c r="N86">
        <v>9900</v>
      </c>
      <c r="O86">
        <v>56100</v>
      </c>
      <c r="P86">
        <v>120000</v>
      </c>
      <c r="Q86">
        <v>2000</v>
      </c>
      <c r="R86">
        <v>56100</v>
      </c>
    </row>
    <row r="87" spans="1:18" x14ac:dyDescent="0.3">
      <c r="A87" s="1">
        <v>45925</v>
      </c>
      <c r="B87">
        <v>2025</v>
      </c>
      <c r="C87" t="s">
        <v>96</v>
      </c>
      <c r="D87" t="s">
        <v>14</v>
      </c>
      <c r="E87" t="s">
        <v>19</v>
      </c>
      <c r="F87" t="s">
        <v>49</v>
      </c>
      <c r="G87" t="s">
        <v>24</v>
      </c>
      <c r="H87" t="s">
        <v>93</v>
      </c>
      <c r="I87" t="s">
        <v>46</v>
      </c>
      <c r="J87" t="s">
        <v>16</v>
      </c>
      <c r="K87">
        <v>94000</v>
      </c>
      <c r="L87">
        <v>39000</v>
      </c>
      <c r="M87">
        <v>55000</v>
      </c>
      <c r="N87">
        <v>8250</v>
      </c>
      <c r="O87">
        <v>46750</v>
      </c>
      <c r="P87">
        <v>92000</v>
      </c>
      <c r="Q87">
        <v>2000</v>
      </c>
      <c r="R87">
        <v>46750</v>
      </c>
    </row>
    <row r="88" spans="1:18" x14ac:dyDescent="0.3">
      <c r="A88" s="1">
        <v>45926</v>
      </c>
      <c r="B88">
        <v>2025</v>
      </c>
      <c r="C88" t="s">
        <v>96</v>
      </c>
      <c r="D88" t="s">
        <v>17</v>
      </c>
      <c r="E88" t="s">
        <v>43</v>
      </c>
      <c r="F88" t="s">
        <v>11</v>
      </c>
      <c r="G88" t="s">
        <v>44</v>
      </c>
      <c r="H88" t="s">
        <v>83</v>
      </c>
      <c r="I88" t="s">
        <v>46</v>
      </c>
      <c r="J88" t="s">
        <v>9</v>
      </c>
      <c r="K88">
        <v>102000</v>
      </c>
      <c r="L88">
        <v>47000</v>
      </c>
      <c r="M88">
        <v>55000</v>
      </c>
      <c r="N88">
        <v>8250</v>
      </c>
      <c r="O88">
        <v>46750</v>
      </c>
      <c r="P88">
        <v>100000</v>
      </c>
      <c r="Q88">
        <v>2000</v>
      </c>
      <c r="R88">
        <v>46750</v>
      </c>
    </row>
    <row r="89" spans="1:18" x14ac:dyDescent="0.3">
      <c r="A89" s="1">
        <v>45927</v>
      </c>
      <c r="B89">
        <v>2025</v>
      </c>
      <c r="C89" t="s">
        <v>96</v>
      </c>
      <c r="D89" t="s">
        <v>7</v>
      </c>
      <c r="E89" t="s">
        <v>40</v>
      </c>
      <c r="F89" t="s">
        <v>21</v>
      </c>
      <c r="G89" t="s">
        <v>41</v>
      </c>
      <c r="H89" t="s">
        <v>74</v>
      </c>
      <c r="I89" t="s">
        <v>42</v>
      </c>
      <c r="J89" t="s">
        <v>18</v>
      </c>
      <c r="K89">
        <v>96000</v>
      </c>
      <c r="L89">
        <v>49000</v>
      </c>
      <c r="M89">
        <v>47000</v>
      </c>
      <c r="N89">
        <v>7050</v>
      </c>
      <c r="O89">
        <v>39950</v>
      </c>
      <c r="P89">
        <v>94000</v>
      </c>
      <c r="Q89">
        <v>2000</v>
      </c>
      <c r="R89">
        <v>39950</v>
      </c>
    </row>
    <row r="90" spans="1:18" x14ac:dyDescent="0.3">
      <c r="A90" s="1">
        <v>45928</v>
      </c>
      <c r="B90">
        <v>2025</v>
      </c>
      <c r="C90" t="s">
        <v>96</v>
      </c>
      <c r="D90" t="s">
        <v>10</v>
      </c>
      <c r="E90" t="s">
        <v>47</v>
      </c>
      <c r="F90" t="s">
        <v>8</v>
      </c>
      <c r="G90" t="s">
        <v>53</v>
      </c>
      <c r="H90" t="s">
        <v>66</v>
      </c>
      <c r="I90" t="s">
        <v>46</v>
      </c>
      <c r="J90" t="s">
        <v>9</v>
      </c>
      <c r="K90">
        <v>145000</v>
      </c>
      <c r="L90">
        <v>68000</v>
      </c>
      <c r="M90">
        <v>77000</v>
      </c>
      <c r="N90">
        <v>11550</v>
      </c>
      <c r="O90">
        <v>65450</v>
      </c>
      <c r="P90">
        <v>142000</v>
      </c>
      <c r="Q90">
        <v>3000</v>
      </c>
      <c r="R90">
        <v>65450</v>
      </c>
    </row>
    <row r="91" spans="1:18" x14ac:dyDescent="0.3">
      <c r="A91" s="1">
        <v>45929</v>
      </c>
      <c r="B91">
        <v>2025</v>
      </c>
      <c r="C91" t="s">
        <v>96</v>
      </c>
      <c r="D91" t="s">
        <v>14</v>
      </c>
      <c r="E91" t="s">
        <v>43</v>
      </c>
      <c r="F91" t="s">
        <v>19</v>
      </c>
      <c r="G91" t="s">
        <v>57</v>
      </c>
      <c r="H91" t="s">
        <v>84</v>
      </c>
      <c r="I91" t="s">
        <v>46</v>
      </c>
      <c r="J91" t="s">
        <v>16</v>
      </c>
      <c r="K91">
        <v>136000</v>
      </c>
      <c r="L91">
        <v>65000</v>
      </c>
      <c r="M91">
        <v>71000</v>
      </c>
      <c r="N91">
        <v>10650</v>
      </c>
      <c r="O91">
        <v>60350</v>
      </c>
      <c r="P91">
        <v>134000</v>
      </c>
      <c r="Q91">
        <v>2000</v>
      </c>
      <c r="R91">
        <v>60350</v>
      </c>
    </row>
    <row r="92" spans="1:18" x14ac:dyDescent="0.3">
      <c r="A92" s="1">
        <v>45930</v>
      </c>
      <c r="B92">
        <v>2025</v>
      </c>
      <c r="C92" t="s">
        <v>96</v>
      </c>
      <c r="D92" t="s">
        <v>17</v>
      </c>
      <c r="E92" t="s">
        <v>40</v>
      </c>
      <c r="F92" t="s">
        <v>11</v>
      </c>
      <c r="G92" t="s">
        <v>55</v>
      </c>
      <c r="H92" t="s">
        <v>56</v>
      </c>
      <c r="I92" t="s">
        <v>42</v>
      </c>
      <c r="J92" t="s">
        <v>9</v>
      </c>
      <c r="K92">
        <v>93000</v>
      </c>
      <c r="L92">
        <v>43000</v>
      </c>
      <c r="M92">
        <v>50000</v>
      </c>
      <c r="N92">
        <v>7500</v>
      </c>
      <c r="O92">
        <v>42500</v>
      </c>
      <c r="P92">
        <v>91000</v>
      </c>
      <c r="Q92">
        <v>2000</v>
      </c>
      <c r="R92">
        <v>42500</v>
      </c>
    </row>
    <row r="93" spans="1:18" x14ac:dyDescent="0.3">
      <c r="A93" s="1">
        <v>45931</v>
      </c>
      <c r="B93">
        <v>2025</v>
      </c>
      <c r="C93" t="s">
        <v>97</v>
      </c>
      <c r="D93" t="s">
        <v>7</v>
      </c>
      <c r="E93" t="s">
        <v>47</v>
      </c>
      <c r="F93" t="s">
        <v>20</v>
      </c>
      <c r="G93" t="s">
        <v>58</v>
      </c>
      <c r="H93" t="s">
        <v>59</v>
      </c>
      <c r="I93" t="s">
        <v>46</v>
      </c>
      <c r="J93" t="s">
        <v>16</v>
      </c>
      <c r="K93">
        <v>126000</v>
      </c>
      <c r="L93">
        <v>58000</v>
      </c>
      <c r="M93">
        <v>68000</v>
      </c>
      <c r="N93">
        <v>10200</v>
      </c>
      <c r="O93">
        <v>57800</v>
      </c>
      <c r="P93">
        <v>124000</v>
      </c>
      <c r="Q93">
        <v>2000</v>
      </c>
      <c r="R93">
        <v>57800</v>
      </c>
    </row>
    <row r="94" spans="1:18" x14ac:dyDescent="0.3">
      <c r="A94" s="1">
        <v>45932</v>
      </c>
      <c r="B94">
        <v>2025</v>
      </c>
      <c r="C94" t="s">
        <v>97</v>
      </c>
      <c r="D94" t="s">
        <v>10</v>
      </c>
      <c r="E94" t="s">
        <v>43</v>
      </c>
      <c r="F94" t="s">
        <v>15</v>
      </c>
      <c r="G94" t="s">
        <v>52</v>
      </c>
      <c r="H94" t="s">
        <v>28</v>
      </c>
      <c r="I94" t="s">
        <v>46</v>
      </c>
      <c r="J94" t="s">
        <v>13</v>
      </c>
      <c r="K94">
        <v>94000</v>
      </c>
      <c r="L94">
        <v>42000</v>
      </c>
      <c r="M94">
        <v>52000</v>
      </c>
      <c r="N94">
        <v>7800</v>
      </c>
      <c r="O94">
        <v>44200</v>
      </c>
      <c r="P94">
        <v>92000</v>
      </c>
      <c r="Q94">
        <v>2000</v>
      </c>
      <c r="R94">
        <v>44200</v>
      </c>
    </row>
    <row r="95" spans="1:18" x14ac:dyDescent="0.3">
      <c r="A95" s="1">
        <v>45933</v>
      </c>
      <c r="B95">
        <v>2025</v>
      </c>
      <c r="C95" t="s">
        <v>97</v>
      </c>
      <c r="D95" t="s">
        <v>14</v>
      </c>
      <c r="E95" t="s">
        <v>40</v>
      </c>
      <c r="F95" t="s">
        <v>8</v>
      </c>
      <c r="G95" t="s">
        <v>41</v>
      </c>
      <c r="H95" t="s">
        <v>92</v>
      </c>
      <c r="I95" t="s">
        <v>42</v>
      </c>
      <c r="J95" t="s">
        <v>13</v>
      </c>
      <c r="K95">
        <v>99000</v>
      </c>
      <c r="L95">
        <v>46000</v>
      </c>
      <c r="M95">
        <v>53000</v>
      </c>
      <c r="N95">
        <v>7950</v>
      </c>
      <c r="O95">
        <v>45050</v>
      </c>
      <c r="P95">
        <v>97000</v>
      </c>
      <c r="Q95">
        <v>2000</v>
      </c>
      <c r="R95">
        <v>45050</v>
      </c>
    </row>
    <row r="96" spans="1:18" x14ac:dyDescent="0.3">
      <c r="A96" s="1">
        <v>45934</v>
      </c>
      <c r="B96">
        <v>2025</v>
      </c>
      <c r="C96" t="s">
        <v>97</v>
      </c>
      <c r="D96" t="s">
        <v>17</v>
      </c>
      <c r="E96" t="s">
        <v>47</v>
      </c>
      <c r="F96" t="s">
        <v>8</v>
      </c>
      <c r="G96" t="s">
        <v>53</v>
      </c>
      <c r="H96" t="s">
        <v>11</v>
      </c>
      <c r="I96" t="s">
        <v>46</v>
      </c>
      <c r="J96" t="s">
        <v>9</v>
      </c>
      <c r="K96">
        <v>150000</v>
      </c>
      <c r="L96">
        <v>70000</v>
      </c>
      <c r="M96">
        <v>80000</v>
      </c>
      <c r="N96">
        <v>12000</v>
      </c>
      <c r="O96">
        <v>68000</v>
      </c>
      <c r="P96">
        <v>148000</v>
      </c>
      <c r="Q96">
        <v>2000</v>
      </c>
      <c r="R96">
        <v>68000</v>
      </c>
    </row>
    <row r="97" spans="1:18" x14ac:dyDescent="0.3">
      <c r="A97" s="1">
        <v>45935</v>
      </c>
      <c r="B97">
        <v>2025</v>
      </c>
      <c r="C97" t="s">
        <v>97</v>
      </c>
      <c r="D97" t="s">
        <v>7</v>
      </c>
      <c r="E97" t="s">
        <v>19</v>
      </c>
      <c r="F97" t="s">
        <v>49</v>
      </c>
      <c r="G97" t="s">
        <v>24</v>
      </c>
      <c r="H97" t="s">
        <v>50</v>
      </c>
      <c r="I97" t="s">
        <v>46</v>
      </c>
      <c r="J97" t="s">
        <v>16</v>
      </c>
      <c r="K97">
        <v>98000</v>
      </c>
      <c r="L97">
        <v>42000</v>
      </c>
      <c r="M97">
        <v>56000</v>
      </c>
      <c r="N97">
        <v>8400</v>
      </c>
      <c r="O97">
        <v>47600</v>
      </c>
      <c r="P97">
        <v>96000</v>
      </c>
      <c r="Q97">
        <v>2000</v>
      </c>
      <c r="R97">
        <v>47600</v>
      </c>
    </row>
    <row r="98" spans="1:18" x14ac:dyDescent="0.3">
      <c r="A98" s="1">
        <v>45936</v>
      </c>
      <c r="B98">
        <v>2025</v>
      </c>
      <c r="C98" t="s">
        <v>97</v>
      </c>
      <c r="D98" t="s">
        <v>10</v>
      </c>
      <c r="E98" t="s">
        <v>40</v>
      </c>
      <c r="F98" t="s">
        <v>21</v>
      </c>
      <c r="G98" t="s">
        <v>41</v>
      </c>
      <c r="H98" t="s">
        <v>82</v>
      </c>
      <c r="I98" t="s">
        <v>42</v>
      </c>
      <c r="J98" t="s">
        <v>18</v>
      </c>
      <c r="K98">
        <v>97000</v>
      </c>
      <c r="L98">
        <v>48000</v>
      </c>
      <c r="M98">
        <v>49000</v>
      </c>
      <c r="N98">
        <v>7350</v>
      </c>
      <c r="O98">
        <v>41650</v>
      </c>
      <c r="P98">
        <v>95000</v>
      </c>
      <c r="Q98">
        <v>2000</v>
      </c>
      <c r="R98">
        <v>41650</v>
      </c>
    </row>
    <row r="99" spans="1:18" x14ac:dyDescent="0.3">
      <c r="A99" s="1">
        <v>45937</v>
      </c>
      <c r="B99">
        <v>2025</v>
      </c>
      <c r="C99" t="s">
        <v>97</v>
      </c>
      <c r="D99" t="s">
        <v>14</v>
      </c>
      <c r="E99" t="s">
        <v>43</v>
      </c>
      <c r="F99" t="s">
        <v>11</v>
      </c>
      <c r="G99" t="s">
        <v>44</v>
      </c>
      <c r="H99" t="s">
        <v>91</v>
      </c>
      <c r="I99" t="s">
        <v>46</v>
      </c>
      <c r="J99" t="s">
        <v>9</v>
      </c>
      <c r="K99">
        <v>105000</v>
      </c>
      <c r="L99">
        <v>49000</v>
      </c>
      <c r="M99">
        <v>56000</v>
      </c>
      <c r="N99">
        <v>8400</v>
      </c>
      <c r="O99">
        <v>47600</v>
      </c>
      <c r="P99">
        <v>103000</v>
      </c>
      <c r="Q99">
        <v>2000</v>
      </c>
      <c r="R99">
        <v>47600</v>
      </c>
    </row>
    <row r="100" spans="1:18" x14ac:dyDescent="0.3">
      <c r="A100" s="1">
        <v>45938</v>
      </c>
      <c r="B100">
        <v>2025</v>
      </c>
      <c r="C100" t="s">
        <v>97</v>
      </c>
      <c r="D100" t="s">
        <v>17</v>
      </c>
      <c r="E100" t="s">
        <v>47</v>
      </c>
      <c r="F100" t="s">
        <v>20</v>
      </c>
      <c r="G100" t="s">
        <v>48</v>
      </c>
      <c r="H100" t="s">
        <v>81</v>
      </c>
      <c r="I100" t="s">
        <v>46</v>
      </c>
      <c r="J100" t="s">
        <v>16</v>
      </c>
      <c r="K100">
        <v>132000</v>
      </c>
      <c r="L100">
        <v>62000</v>
      </c>
      <c r="M100">
        <v>70000</v>
      </c>
      <c r="N100">
        <v>10500</v>
      </c>
      <c r="O100">
        <v>59500</v>
      </c>
      <c r="P100">
        <v>130000</v>
      </c>
      <c r="Q100">
        <v>2000</v>
      </c>
      <c r="R100">
        <v>59500</v>
      </c>
    </row>
    <row r="101" spans="1:18" x14ac:dyDescent="0.3">
      <c r="A101" s="1">
        <v>45939</v>
      </c>
      <c r="B101">
        <v>2025</v>
      </c>
      <c r="C101" t="s">
        <v>97</v>
      </c>
      <c r="D101" t="s">
        <v>7</v>
      </c>
      <c r="E101" t="s">
        <v>40</v>
      </c>
      <c r="F101" t="s">
        <v>8</v>
      </c>
      <c r="G101" t="s">
        <v>41</v>
      </c>
      <c r="H101" t="s">
        <v>78</v>
      </c>
      <c r="I101" t="s">
        <v>42</v>
      </c>
      <c r="J101" t="s">
        <v>13</v>
      </c>
      <c r="K101">
        <v>95000</v>
      </c>
      <c r="L101">
        <v>44000</v>
      </c>
      <c r="M101">
        <v>51000</v>
      </c>
      <c r="N101">
        <v>7650</v>
      </c>
      <c r="O101">
        <v>43350</v>
      </c>
      <c r="P101">
        <v>93000</v>
      </c>
      <c r="Q101">
        <v>2000</v>
      </c>
      <c r="R101">
        <v>43350</v>
      </c>
    </row>
    <row r="102" spans="1:18" x14ac:dyDescent="0.3">
      <c r="A102" s="1">
        <v>45940</v>
      </c>
      <c r="B102">
        <v>2025</v>
      </c>
      <c r="C102" t="s">
        <v>97</v>
      </c>
      <c r="D102" t="s">
        <v>10</v>
      </c>
      <c r="E102" t="s">
        <v>43</v>
      </c>
      <c r="F102" t="s">
        <v>19</v>
      </c>
      <c r="G102" t="s">
        <v>57</v>
      </c>
      <c r="H102" t="s">
        <v>76</v>
      </c>
      <c r="I102" t="s">
        <v>46</v>
      </c>
      <c r="J102" t="s">
        <v>16</v>
      </c>
      <c r="K102">
        <v>140000</v>
      </c>
      <c r="L102">
        <v>67000</v>
      </c>
      <c r="M102">
        <v>73000</v>
      </c>
      <c r="N102">
        <v>10950</v>
      </c>
      <c r="O102">
        <v>62050</v>
      </c>
      <c r="P102">
        <v>138000</v>
      </c>
      <c r="Q102">
        <v>2000</v>
      </c>
      <c r="R102">
        <v>62050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E9688-5C3F-4CFC-BB61-A4F07909F213}">
  <dimension ref="B2:BH51"/>
  <sheetViews>
    <sheetView workbookViewId="0">
      <selection activeCell="BF11" sqref="BF11"/>
    </sheetView>
  </sheetViews>
  <sheetFormatPr defaultRowHeight="14.4" x14ac:dyDescent="0.3"/>
  <cols>
    <col min="2" max="2" width="22.33203125" bestFit="1" customWidth="1"/>
    <col min="3" max="3" width="15.5546875" bestFit="1" customWidth="1"/>
    <col min="4" max="4" width="8" bestFit="1" customWidth="1"/>
    <col min="5" max="5" width="11.33203125" bestFit="1" customWidth="1"/>
    <col min="7" max="7" width="13.109375" bestFit="1" customWidth="1"/>
    <col min="8" max="8" width="15.5546875" bestFit="1" customWidth="1"/>
    <col min="10" max="10" width="14" bestFit="1" customWidth="1"/>
    <col min="11" max="11" width="18.44140625" bestFit="1" customWidth="1"/>
    <col min="12" max="12" width="15.5546875" bestFit="1" customWidth="1"/>
    <col min="13" max="13" width="7.88671875" bestFit="1" customWidth="1"/>
    <col min="14" max="14" width="6.109375" bestFit="1" customWidth="1"/>
    <col min="15" max="15" width="11.109375" bestFit="1" customWidth="1"/>
    <col min="16" max="16" width="11.33203125" bestFit="1" customWidth="1"/>
    <col min="19" max="19" width="7" customWidth="1"/>
    <col min="20" max="20" width="13.44140625" customWidth="1"/>
    <col min="21" max="21" width="17.6640625" bestFit="1" customWidth="1"/>
    <col min="22" max="22" width="15.109375" bestFit="1" customWidth="1"/>
    <col min="24" max="24" width="13.109375" bestFit="1" customWidth="1"/>
    <col min="25" max="25" width="15.109375" bestFit="1" customWidth="1"/>
    <col min="26" max="26" width="15.5546875" bestFit="1" customWidth="1"/>
    <col min="28" max="28" width="13.109375" bestFit="1" customWidth="1"/>
    <col min="29" max="29" width="15.5546875" bestFit="1" customWidth="1"/>
    <col min="30" max="30" width="16" bestFit="1" customWidth="1"/>
    <col min="31" max="31" width="13.109375" bestFit="1" customWidth="1"/>
    <col min="32" max="32" width="15.5546875" bestFit="1" customWidth="1"/>
    <col min="33" max="33" width="16" bestFit="1" customWidth="1"/>
    <col min="36" max="36" width="13.109375" bestFit="1" customWidth="1"/>
    <col min="37" max="37" width="19" bestFit="1" customWidth="1"/>
    <col min="38" max="38" width="15.5546875" bestFit="1" customWidth="1"/>
    <col min="40" max="40" width="13.109375" bestFit="1" customWidth="1"/>
    <col min="41" max="41" width="15.44140625" bestFit="1" customWidth="1"/>
    <col min="45" max="45" width="13.109375" bestFit="1" customWidth="1"/>
    <col min="46" max="46" width="16" bestFit="1" customWidth="1"/>
    <col min="47" max="47" width="16.109375" bestFit="1" customWidth="1"/>
    <col min="48" max="48" width="13.109375" bestFit="1" customWidth="1"/>
    <col min="49" max="49" width="16.109375" bestFit="1" customWidth="1"/>
    <col min="53" max="53" width="13.109375" bestFit="1" customWidth="1"/>
    <col min="54" max="54" width="19.109375" bestFit="1" customWidth="1"/>
    <col min="55" max="56" width="11.5546875" bestFit="1" customWidth="1"/>
    <col min="58" max="58" width="13.109375" bestFit="1" customWidth="1"/>
    <col min="59" max="59" width="15.109375" bestFit="1" customWidth="1"/>
  </cols>
  <sheetData>
    <row r="2" spans="2:60" x14ac:dyDescent="0.3">
      <c r="K2" s="24" t="s">
        <v>112</v>
      </c>
      <c r="L2" s="24"/>
      <c r="N2" s="5" t="s">
        <v>124</v>
      </c>
      <c r="O2" s="5"/>
      <c r="V2" s="6" t="s">
        <v>125</v>
      </c>
      <c r="W2" s="6"/>
      <c r="AC2" s="7" t="s">
        <v>138</v>
      </c>
      <c r="AD2" s="7"/>
      <c r="AK2" s="9" t="s">
        <v>151</v>
      </c>
      <c r="AL2" s="9"/>
      <c r="AV2" s="10" t="s">
        <v>162</v>
      </c>
      <c r="AW2" s="10"/>
      <c r="BC2" s="11" t="s">
        <v>173</v>
      </c>
      <c r="BD2" s="11"/>
      <c r="BE2" s="11"/>
    </row>
    <row r="3" spans="2:60" x14ac:dyDescent="0.3">
      <c r="B3" s="4" t="s">
        <v>102</v>
      </c>
      <c r="C3" s="4"/>
      <c r="D3" s="4" t="s">
        <v>103</v>
      </c>
      <c r="K3" s="24"/>
      <c r="L3" s="24"/>
    </row>
    <row r="4" spans="2:60" ht="15" customHeight="1" x14ac:dyDescent="0.3">
      <c r="B4" t="s">
        <v>100</v>
      </c>
      <c r="C4" t="s">
        <v>101</v>
      </c>
      <c r="U4" s="21" t="s">
        <v>126</v>
      </c>
      <c r="V4" s="21"/>
      <c r="X4" s="21" t="s">
        <v>129</v>
      </c>
      <c r="Y4" s="21"/>
      <c r="AB4" s="20" t="s">
        <v>139</v>
      </c>
      <c r="AC4" s="20"/>
      <c r="AE4" s="20" t="s">
        <v>149</v>
      </c>
      <c r="AF4" s="20"/>
      <c r="AJ4" s="19" t="s">
        <v>152</v>
      </c>
      <c r="AK4" s="19"/>
      <c r="AN4" s="19" t="s">
        <v>160</v>
      </c>
      <c r="AO4" s="19"/>
      <c r="AP4" s="19"/>
      <c r="AS4" s="17" t="s">
        <v>163</v>
      </c>
      <c r="AT4" s="17"/>
      <c r="AV4" s="17" t="s">
        <v>170</v>
      </c>
      <c r="AW4" s="17"/>
      <c r="BA4" s="18" t="s">
        <v>172</v>
      </c>
      <c r="BB4" s="18"/>
      <c r="BC4" s="18"/>
      <c r="BF4" s="18" t="s">
        <v>180</v>
      </c>
      <c r="BG4" s="18"/>
      <c r="BH4" s="18"/>
    </row>
    <row r="5" spans="2:60" x14ac:dyDescent="0.3">
      <c r="B5" s="8">
        <v>9949000</v>
      </c>
      <c r="C5" s="8">
        <v>4602000</v>
      </c>
      <c r="K5" t="s">
        <v>113</v>
      </c>
      <c r="M5" t="s">
        <v>114</v>
      </c>
      <c r="U5" s="21"/>
      <c r="V5" s="21"/>
      <c r="X5" s="21"/>
      <c r="Y5" s="21"/>
      <c r="AB5" s="20"/>
      <c r="AC5" s="20"/>
      <c r="AE5" s="20"/>
      <c r="AF5" s="20"/>
      <c r="AJ5" s="19"/>
      <c r="AK5" s="19"/>
      <c r="AN5" s="19"/>
      <c r="AO5" s="19"/>
      <c r="AP5" s="19"/>
      <c r="AS5" s="17"/>
      <c r="AT5" s="17"/>
      <c r="AV5" s="17"/>
      <c r="AW5" s="17"/>
      <c r="BA5" s="18"/>
      <c r="BB5" s="18"/>
      <c r="BC5" s="18"/>
      <c r="BF5" s="18"/>
      <c r="BG5" s="18"/>
      <c r="BH5" s="18"/>
    </row>
    <row r="6" spans="2:60" x14ac:dyDescent="0.3">
      <c r="K6" s="2" t="s">
        <v>100</v>
      </c>
      <c r="L6" s="2" t="s">
        <v>111</v>
      </c>
    </row>
    <row r="7" spans="2:60" x14ac:dyDescent="0.3">
      <c r="B7" s="23" t="s">
        <v>105</v>
      </c>
      <c r="C7" s="23"/>
      <c r="K7" s="2" t="s">
        <v>98</v>
      </c>
      <c r="L7" t="s">
        <v>14</v>
      </c>
      <c r="M7" t="s">
        <v>7</v>
      </c>
      <c r="N7" t="s">
        <v>10</v>
      </c>
      <c r="O7" t="s">
        <v>17</v>
      </c>
      <c r="P7" t="s">
        <v>99</v>
      </c>
      <c r="T7" s="22" t="s">
        <v>127</v>
      </c>
      <c r="U7" s="2" t="s">
        <v>98</v>
      </c>
      <c r="V7" t="s">
        <v>101</v>
      </c>
      <c r="X7" s="2" t="s">
        <v>98</v>
      </c>
      <c r="Y7" t="s">
        <v>101</v>
      </c>
      <c r="AB7" s="2" t="s">
        <v>98</v>
      </c>
      <c r="AC7" t="s">
        <v>104</v>
      </c>
      <c r="AE7" s="2" t="s">
        <v>98</v>
      </c>
      <c r="AF7" t="s">
        <v>100</v>
      </c>
      <c r="AG7" t="s">
        <v>104</v>
      </c>
      <c r="AJ7" s="2" t="s">
        <v>98</v>
      </c>
      <c r="AK7" t="s">
        <v>107</v>
      </c>
      <c r="AL7" t="s">
        <v>100</v>
      </c>
      <c r="AN7" s="2" t="s">
        <v>98</v>
      </c>
      <c r="AO7" t="s">
        <v>155</v>
      </c>
      <c r="AS7" s="2" t="s">
        <v>98</v>
      </c>
      <c r="AT7" t="s">
        <v>109</v>
      </c>
      <c r="AV7" s="2" t="s">
        <v>98</v>
      </c>
      <c r="AW7" t="s">
        <v>109</v>
      </c>
      <c r="BA7" s="2" t="s">
        <v>100</v>
      </c>
      <c r="BB7" s="2" t="s">
        <v>111</v>
      </c>
      <c r="BF7" s="2" t="s">
        <v>98</v>
      </c>
      <c r="BG7" t="s">
        <v>101</v>
      </c>
    </row>
    <row r="8" spans="2:60" x14ac:dyDescent="0.3">
      <c r="B8" t="s">
        <v>104</v>
      </c>
      <c r="K8" s="3" t="s">
        <v>6</v>
      </c>
      <c r="L8">
        <v>176000</v>
      </c>
      <c r="M8">
        <v>278000</v>
      </c>
      <c r="N8">
        <v>253000</v>
      </c>
      <c r="O8">
        <v>142000</v>
      </c>
      <c r="P8">
        <v>849000</v>
      </c>
      <c r="T8" s="22"/>
      <c r="U8" s="3" t="s">
        <v>45</v>
      </c>
      <c r="V8" s="16">
        <v>8.2572794437201225E-3</v>
      </c>
      <c r="X8" s="3" t="s">
        <v>6</v>
      </c>
      <c r="Y8">
        <v>382000</v>
      </c>
      <c r="AB8" s="3" t="s">
        <v>6</v>
      </c>
      <c r="AC8" s="8">
        <v>396950</v>
      </c>
      <c r="AE8" s="3" t="s">
        <v>14</v>
      </c>
      <c r="AF8" s="8">
        <v>2455000</v>
      </c>
      <c r="AG8" s="8">
        <v>1125400</v>
      </c>
      <c r="AJ8" s="3" t="s">
        <v>6</v>
      </c>
      <c r="AK8" s="8">
        <v>823000</v>
      </c>
      <c r="AL8" s="8">
        <v>849000</v>
      </c>
      <c r="AN8" s="3" t="s">
        <v>14</v>
      </c>
      <c r="AO8" s="8">
        <v>54000</v>
      </c>
      <c r="AS8" s="3" t="s">
        <v>16</v>
      </c>
      <c r="AT8" s="8">
        <v>1571650</v>
      </c>
      <c r="AV8" s="3" t="s">
        <v>14</v>
      </c>
      <c r="AW8" s="8">
        <v>1125400</v>
      </c>
      <c r="BA8" s="2" t="s">
        <v>98</v>
      </c>
      <c r="BB8" t="s">
        <v>46</v>
      </c>
      <c r="BC8" t="s">
        <v>42</v>
      </c>
      <c r="BD8" t="s">
        <v>99</v>
      </c>
      <c r="BF8" s="3" t="s">
        <v>46</v>
      </c>
      <c r="BG8" s="8">
        <v>3315000</v>
      </c>
    </row>
    <row r="9" spans="2:60" x14ac:dyDescent="0.3">
      <c r="B9" s="8">
        <v>4544950</v>
      </c>
      <c r="K9" s="3" t="s">
        <v>60</v>
      </c>
      <c r="L9">
        <v>279000</v>
      </c>
      <c r="M9">
        <v>201000</v>
      </c>
      <c r="N9">
        <v>148000</v>
      </c>
      <c r="O9">
        <v>257000</v>
      </c>
      <c r="P9">
        <v>885000</v>
      </c>
      <c r="T9" t="s">
        <v>128</v>
      </c>
      <c r="U9" s="3" t="s">
        <v>84</v>
      </c>
      <c r="V9" s="16">
        <v>2.1512385919165579E-2</v>
      </c>
      <c r="X9" s="3" t="s">
        <v>60</v>
      </c>
      <c r="Y9">
        <v>410000</v>
      </c>
      <c r="AB9" s="3" t="s">
        <v>60</v>
      </c>
      <c r="AC9" s="8">
        <v>403750</v>
      </c>
      <c r="AE9" s="3" t="s">
        <v>7</v>
      </c>
      <c r="AF9" s="8">
        <v>2409000</v>
      </c>
      <c r="AG9" s="8">
        <v>1092250</v>
      </c>
      <c r="AJ9" s="3" t="s">
        <v>60</v>
      </c>
      <c r="AK9" s="8">
        <v>866000</v>
      </c>
      <c r="AL9" s="8">
        <v>885000</v>
      </c>
      <c r="AN9" s="3" t="s">
        <v>7</v>
      </c>
      <c r="AO9" s="8">
        <v>59000</v>
      </c>
      <c r="AS9" s="3" t="s">
        <v>18</v>
      </c>
      <c r="AT9" s="8">
        <v>453900</v>
      </c>
      <c r="AV9" s="3" t="s">
        <v>7</v>
      </c>
      <c r="AW9" s="8">
        <v>1092250</v>
      </c>
      <c r="BA9" s="3" t="s">
        <v>6</v>
      </c>
      <c r="BB9" s="8">
        <v>600000</v>
      </c>
      <c r="BC9" s="8">
        <v>249000</v>
      </c>
      <c r="BD9" s="8">
        <v>849000</v>
      </c>
      <c r="BF9" s="3" t="s">
        <v>42</v>
      </c>
      <c r="BG9" s="8">
        <v>1287000</v>
      </c>
    </row>
    <row r="10" spans="2:60" x14ac:dyDescent="0.3">
      <c r="K10" s="3" t="s">
        <v>69</v>
      </c>
      <c r="L10">
        <v>294000</v>
      </c>
      <c r="M10">
        <v>290000</v>
      </c>
      <c r="N10">
        <v>267000</v>
      </c>
      <c r="O10">
        <v>155000</v>
      </c>
      <c r="P10">
        <v>1006000</v>
      </c>
      <c r="U10" s="3" t="s">
        <v>27</v>
      </c>
      <c r="V10" s="16">
        <v>1.1299435028248588E-2</v>
      </c>
      <c r="X10" s="3" t="s">
        <v>69</v>
      </c>
      <c r="Y10">
        <v>464000</v>
      </c>
      <c r="AB10" s="3" t="s">
        <v>69</v>
      </c>
      <c r="AC10" s="8">
        <v>460700</v>
      </c>
      <c r="AE10" s="3" t="s">
        <v>10</v>
      </c>
      <c r="AF10" s="8">
        <v>2609000</v>
      </c>
      <c r="AG10" s="8">
        <v>1195950</v>
      </c>
      <c r="AJ10" s="3" t="s">
        <v>69</v>
      </c>
      <c r="AK10" s="8">
        <v>982000</v>
      </c>
      <c r="AL10" s="8">
        <v>1006000</v>
      </c>
      <c r="AN10" s="3" t="s">
        <v>10</v>
      </c>
      <c r="AO10" s="8">
        <v>53000</v>
      </c>
      <c r="AS10" s="3" t="s">
        <v>9</v>
      </c>
      <c r="AT10" s="8">
        <v>1609050</v>
      </c>
      <c r="AV10" s="3" t="s">
        <v>10</v>
      </c>
      <c r="AW10" s="8">
        <v>1195950</v>
      </c>
      <c r="BA10" s="3" t="s">
        <v>60</v>
      </c>
      <c r="BB10" s="8">
        <v>638000</v>
      </c>
      <c r="BC10" s="8">
        <v>247000</v>
      </c>
      <c r="BD10" s="8">
        <v>885000</v>
      </c>
      <c r="BF10" s="3" t="s">
        <v>99</v>
      </c>
      <c r="BG10" s="8">
        <v>4602000</v>
      </c>
    </row>
    <row r="11" spans="2:60" x14ac:dyDescent="0.3">
      <c r="B11" s="4" t="s">
        <v>106</v>
      </c>
      <c r="C11" s="4"/>
      <c r="K11" s="3" t="s">
        <v>79</v>
      </c>
      <c r="L11">
        <v>187000</v>
      </c>
      <c r="M11">
        <v>181000</v>
      </c>
      <c r="N11">
        <v>254000</v>
      </c>
      <c r="O11">
        <v>316000</v>
      </c>
      <c r="P11">
        <v>938000</v>
      </c>
      <c r="U11" s="3" t="s">
        <v>67</v>
      </c>
      <c r="V11" s="16">
        <v>2.4989135158626684E-2</v>
      </c>
      <c r="X11" s="3" t="s">
        <v>79</v>
      </c>
      <c r="Y11">
        <v>440000</v>
      </c>
      <c r="AB11" s="3" t="s">
        <v>79</v>
      </c>
      <c r="AC11" s="8">
        <v>423300</v>
      </c>
      <c r="AE11" s="3" t="s">
        <v>17</v>
      </c>
      <c r="AF11" s="8">
        <v>2476000</v>
      </c>
      <c r="AG11" s="8">
        <v>1131350</v>
      </c>
      <c r="AJ11" s="3" t="s">
        <v>79</v>
      </c>
      <c r="AK11" s="8">
        <v>918000</v>
      </c>
      <c r="AL11" s="8">
        <v>938000</v>
      </c>
      <c r="AN11" s="3" t="s">
        <v>17</v>
      </c>
      <c r="AO11" s="8">
        <v>49000</v>
      </c>
      <c r="AS11" s="3" t="s">
        <v>13</v>
      </c>
      <c r="AT11" s="8">
        <v>910350</v>
      </c>
      <c r="AV11" s="3" t="s">
        <v>17</v>
      </c>
      <c r="AW11" s="8">
        <v>1131350</v>
      </c>
      <c r="BA11" s="3" t="s">
        <v>69</v>
      </c>
      <c r="BB11" s="8">
        <v>664000</v>
      </c>
      <c r="BC11" s="8">
        <v>342000</v>
      </c>
      <c r="BD11" s="8">
        <v>1006000</v>
      </c>
      <c r="BF11" t="s">
        <v>181</v>
      </c>
    </row>
    <row r="12" spans="2:60" x14ac:dyDescent="0.3">
      <c r="B12" t="s">
        <v>107</v>
      </c>
      <c r="C12" t="s">
        <v>100</v>
      </c>
      <c r="K12" s="3" t="s">
        <v>85</v>
      </c>
      <c r="L12">
        <v>258000</v>
      </c>
      <c r="M12">
        <v>186000</v>
      </c>
      <c r="N12">
        <v>228000</v>
      </c>
      <c r="O12">
        <v>295000</v>
      </c>
      <c r="P12">
        <v>967000</v>
      </c>
      <c r="U12" s="3" t="s">
        <v>83</v>
      </c>
      <c r="V12" s="16">
        <v>2.0208604954367666E-2</v>
      </c>
      <c r="X12" s="3" t="s">
        <v>85</v>
      </c>
      <c r="Y12">
        <v>448000</v>
      </c>
      <c r="AB12" s="3" t="s">
        <v>85</v>
      </c>
      <c r="AC12" s="8">
        <v>441150</v>
      </c>
      <c r="AE12" s="3" t="s">
        <v>99</v>
      </c>
      <c r="AF12" s="8">
        <v>9949000</v>
      </c>
      <c r="AG12" s="8">
        <v>4544950</v>
      </c>
      <c r="AJ12" s="3" t="s">
        <v>85</v>
      </c>
      <c r="AK12" s="8">
        <v>946000</v>
      </c>
      <c r="AL12" s="8">
        <v>967000</v>
      </c>
      <c r="AN12" s="3" t="s">
        <v>99</v>
      </c>
      <c r="AO12" s="8">
        <v>215000</v>
      </c>
      <c r="AS12" s="3" t="s">
        <v>99</v>
      </c>
      <c r="AT12" s="8">
        <v>4544950</v>
      </c>
      <c r="AV12" s="3" t="s">
        <v>99</v>
      </c>
      <c r="AW12" s="8">
        <v>4544950</v>
      </c>
      <c r="BA12" s="3" t="s">
        <v>79</v>
      </c>
      <c r="BB12" s="8">
        <v>671000</v>
      </c>
      <c r="BC12" s="8">
        <v>267000</v>
      </c>
      <c r="BD12" s="8">
        <v>938000</v>
      </c>
      <c r="BF12" t="s">
        <v>123</v>
      </c>
    </row>
    <row r="13" spans="2:60" x14ac:dyDescent="0.3">
      <c r="B13" s="8">
        <v>9734000</v>
      </c>
      <c r="C13" s="8">
        <v>9949000</v>
      </c>
      <c r="K13" s="3" t="s">
        <v>89</v>
      </c>
      <c r="L13">
        <v>171000</v>
      </c>
      <c r="M13">
        <v>274000</v>
      </c>
      <c r="N13">
        <v>299000</v>
      </c>
      <c r="O13">
        <v>235000</v>
      </c>
      <c r="P13">
        <v>979000</v>
      </c>
      <c r="U13" s="3" t="s">
        <v>87</v>
      </c>
      <c r="V13" s="16">
        <v>2.3033463711429811E-2</v>
      </c>
      <c r="X13" s="3" t="s">
        <v>89</v>
      </c>
      <c r="Y13">
        <v>451000</v>
      </c>
      <c r="AB13" s="3" t="s">
        <v>89</v>
      </c>
      <c r="AC13" s="8">
        <v>448800</v>
      </c>
      <c r="AE13" t="s">
        <v>150</v>
      </c>
      <c r="AJ13" s="3" t="s">
        <v>89</v>
      </c>
      <c r="AK13" s="8">
        <v>957000</v>
      </c>
      <c r="AL13" s="8">
        <v>979000</v>
      </c>
      <c r="AN13" t="s">
        <v>161</v>
      </c>
      <c r="AS13" t="s">
        <v>164</v>
      </c>
      <c r="AV13" t="s">
        <v>171</v>
      </c>
      <c r="BA13" s="3" t="s">
        <v>85</v>
      </c>
      <c r="BB13" s="8">
        <v>703000</v>
      </c>
      <c r="BC13" s="8">
        <v>264000</v>
      </c>
      <c r="BD13" s="8">
        <v>967000</v>
      </c>
    </row>
    <row r="14" spans="2:60" x14ac:dyDescent="0.3">
      <c r="K14" s="3" t="s">
        <v>90</v>
      </c>
      <c r="L14">
        <v>296000</v>
      </c>
      <c r="M14">
        <v>176000</v>
      </c>
      <c r="N14">
        <v>232000</v>
      </c>
      <c r="O14">
        <v>288000</v>
      </c>
      <c r="P14">
        <v>992000</v>
      </c>
      <c r="U14" s="3" t="s">
        <v>26</v>
      </c>
      <c r="V14" s="16">
        <v>7.6053889613211644E-3</v>
      </c>
      <c r="X14" s="3" t="s">
        <v>90</v>
      </c>
      <c r="Y14">
        <v>454000</v>
      </c>
      <c r="AB14" s="3" t="s">
        <v>90</v>
      </c>
      <c r="AC14" s="8">
        <v>457300</v>
      </c>
      <c r="AE14" t="s">
        <v>137</v>
      </c>
      <c r="AJ14" s="3" t="s">
        <v>90</v>
      </c>
      <c r="AK14" s="8">
        <v>972000</v>
      </c>
      <c r="AL14" s="8">
        <v>992000</v>
      </c>
      <c r="AN14" s="3" t="s">
        <v>134</v>
      </c>
      <c r="AS14" s="3" t="s">
        <v>134</v>
      </c>
      <c r="AV14" s="3" t="s">
        <v>146</v>
      </c>
      <c r="BA14" s="3" t="s">
        <v>89</v>
      </c>
      <c r="BB14" s="8">
        <v>711000</v>
      </c>
      <c r="BC14" s="8">
        <v>268000</v>
      </c>
      <c r="BD14" s="8">
        <v>979000</v>
      </c>
    </row>
    <row r="15" spans="2:60" x14ac:dyDescent="0.3">
      <c r="B15" s="4" t="s">
        <v>108</v>
      </c>
      <c r="C15" s="4"/>
      <c r="K15" s="3" t="s">
        <v>95</v>
      </c>
      <c r="L15">
        <v>220000</v>
      </c>
      <c r="M15">
        <v>317000</v>
      </c>
      <c r="N15">
        <v>330000</v>
      </c>
      <c r="O15">
        <v>213000</v>
      </c>
      <c r="P15">
        <v>1080000</v>
      </c>
      <c r="U15" s="3" t="s">
        <v>50</v>
      </c>
      <c r="V15" s="16">
        <v>3.911342894393742E-2</v>
      </c>
      <c r="X15" s="3" t="s">
        <v>95</v>
      </c>
      <c r="Y15">
        <v>506000</v>
      </c>
      <c r="AB15" s="3" t="s">
        <v>95</v>
      </c>
      <c r="AC15" s="8">
        <v>487900</v>
      </c>
      <c r="AJ15" s="3" t="s">
        <v>95</v>
      </c>
      <c r="AK15" s="8">
        <v>1058000</v>
      </c>
      <c r="AL15" s="8">
        <v>1080000</v>
      </c>
      <c r="BA15" s="3" t="s">
        <v>90</v>
      </c>
      <c r="BB15" s="8">
        <v>808000</v>
      </c>
      <c r="BC15" s="8">
        <v>184000</v>
      </c>
      <c r="BD15" s="8">
        <v>992000</v>
      </c>
    </row>
    <row r="16" spans="2:60" x14ac:dyDescent="0.3">
      <c r="B16" t="s">
        <v>109</v>
      </c>
      <c r="K16" s="3" t="s">
        <v>96</v>
      </c>
      <c r="L16">
        <v>370000</v>
      </c>
      <c r="M16">
        <v>187000</v>
      </c>
      <c r="N16">
        <v>267000</v>
      </c>
      <c r="O16">
        <v>293000</v>
      </c>
      <c r="P16">
        <v>1117000</v>
      </c>
      <c r="U16" s="3" t="s">
        <v>68</v>
      </c>
      <c r="V16" s="16">
        <v>3.824424163407214E-2</v>
      </c>
      <c r="X16" s="3" t="s">
        <v>96</v>
      </c>
      <c r="Y16">
        <v>519000</v>
      </c>
      <c r="AB16" s="3" t="s">
        <v>96</v>
      </c>
      <c r="AC16" s="8">
        <v>508300</v>
      </c>
      <c r="AJ16" s="3" t="s">
        <v>96</v>
      </c>
      <c r="AK16" s="8">
        <v>1096000</v>
      </c>
      <c r="AL16" s="8">
        <v>1117000</v>
      </c>
      <c r="AS16" s="17" t="s">
        <v>165</v>
      </c>
      <c r="AT16" s="17"/>
      <c r="BA16" s="3" t="s">
        <v>95</v>
      </c>
      <c r="BB16" s="8">
        <v>803000</v>
      </c>
      <c r="BC16" s="8">
        <v>277000</v>
      </c>
      <c r="BD16" s="8">
        <v>1080000</v>
      </c>
    </row>
    <row r="17" spans="2:56" x14ac:dyDescent="0.3">
      <c r="B17" s="8">
        <v>4544950</v>
      </c>
      <c r="K17" s="3" t="s">
        <v>97</v>
      </c>
      <c r="L17">
        <v>204000</v>
      </c>
      <c r="M17">
        <v>319000</v>
      </c>
      <c r="N17">
        <v>331000</v>
      </c>
      <c r="O17">
        <v>282000</v>
      </c>
      <c r="P17">
        <v>1136000</v>
      </c>
      <c r="U17" s="3" t="s">
        <v>66</v>
      </c>
      <c r="V17" s="16">
        <v>3.6940460669274228E-2</v>
      </c>
      <c r="X17" s="3" t="s">
        <v>97</v>
      </c>
      <c r="Y17">
        <v>528000</v>
      </c>
      <c r="AB17" s="3" t="s">
        <v>97</v>
      </c>
      <c r="AC17" s="8">
        <v>516800</v>
      </c>
      <c r="AJ17" s="3" t="s">
        <v>97</v>
      </c>
      <c r="AK17" s="8">
        <v>1116000</v>
      </c>
      <c r="AL17" s="8">
        <v>1136000</v>
      </c>
      <c r="AS17" s="17"/>
      <c r="AT17" s="17"/>
      <c r="BA17" s="3" t="s">
        <v>96</v>
      </c>
      <c r="BB17" s="8">
        <v>830000</v>
      </c>
      <c r="BC17" s="8">
        <v>287000</v>
      </c>
      <c r="BD17" s="8">
        <v>1117000</v>
      </c>
    </row>
    <row r="18" spans="2:56" x14ac:dyDescent="0.3">
      <c r="K18" s="3" t="s">
        <v>99</v>
      </c>
      <c r="L18">
        <v>2455000</v>
      </c>
      <c r="M18">
        <v>2409000</v>
      </c>
      <c r="N18">
        <v>2609000</v>
      </c>
      <c r="O18">
        <v>2476000</v>
      </c>
      <c r="P18">
        <v>9949000</v>
      </c>
      <c r="U18" s="3" t="s">
        <v>54</v>
      </c>
      <c r="V18" s="16">
        <v>4.6284224250325946E-2</v>
      </c>
      <c r="X18" s="3" t="s">
        <v>99</v>
      </c>
      <c r="Y18">
        <v>4602000</v>
      </c>
      <c r="AB18" s="3" t="s">
        <v>99</v>
      </c>
      <c r="AC18" s="8">
        <v>4544950</v>
      </c>
      <c r="AJ18" s="3" t="s">
        <v>99</v>
      </c>
      <c r="AK18" s="8">
        <v>9734000</v>
      </c>
      <c r="AL18" s="8">
        <v>9949000</v>
      </c>
      <c r="AS18" s="2" t="s">
        <v>98</v>
      </c>
      <c r="AT18" t="s">
        <v>109</v>
      </c>
      <c r="BA18" s="3" t="s">
        <v>97</v>
      </c>
      <c r="BB18" s="8">
        <v>845000</v>
      </c>
      <c r="BC18" s="8">
        <v>291000</v>
      </c>
      <c r="BD18" s="8">
        <v>1136000</v>
      </c>
    </row>
    <row r="19" spans="2:56" x14ac:dyDescent="0.3">
      <c r="B19" s="4" t="s">
        <v>110</v>
      </c>
      <c r="C19" s="4"/>
      <c r="D19" s="4"/>
      <c r="U19" s="3" t="s">
        <v>72</v>
      </c>
      <c r="V19" s="16">
        <v>1.0212950890916993E-2</v>
      </c>
      <c r="X19" t="s">
        <v>130</v>
      </c>
      <c r="AB19" t="s">
        <v>140</v>
      </c>
      <c r="AJ19" t="s">
        <v>153</v>
      </c>
      <c r="AS19" s="3" t="s">
        <v>6</v>
      </c>
      <c r="AT19" s="8">
        <v>396950</v>
      </c>
      <c r="BA19" s="3" t="s">
        <v>99</v>
      </c>
      <c r="BB19" s="8">
        <v>7273000</v>
      </c>
      <c r="BC19" s="8">
        <v>2676000</v>
      </c>
      <c r="BD19" s="8">
        <v>9949000</v>
      </c>
    </row>
    <row r="20" spans="2:56" x14ac:dyDescent="0.3">
      <c r="B20" t="s">
        <v>100</v>
      </c>
      <c r="U20" s="3" t="s">
        <v>70</v>
      </c>
      <c r="V20" s="16">
        <v>1.8252933507170794E-2</v>
      </c>
      <c r="X20" s="3" t="s">
        <v>131</v>
      </c>
      <c r="AB20" s="3" t="s">
        <v>141</v>
      </c>
      <c r="AJ20" t="s">
        <v>137</v>
      </c>
      <c r="AS20" s="3" t="s">
        <v>60</v>
      </c>
      <c r="AT20" s="8">
        <v>403750</v>
      </c>
      <c r="BA20" t="s">
        <v>174</v>
      </c>
      <c r="BD20" t="s">
        <v>141</v>
      </c>
    </row>
    <row r="21" spans="2:56" x14ac:dyDescent="0.3">
      <c r="B21" s="8">
        <v>9949000</v>
      </c>
      <c r="K21" s="24" t="s">
        <v>115</v>
      </c>
      <c r="L21" s="24"/>
      <c r="U21" s="3" t="s">
        <v>62</v>
      </c>
      <c r="V21" s="16">
        <v>9.126466753585397E-3</v>
      </c>
      <c r="AS21" s="3" t="s">
        <v>69</v>
      </c>
      <c r="AT21" s="8">
        <v>460700</v>
      </c>
    </row>
    <row r="22" spans="2:56" x14ac:dyDescent="0.3">
      <c r="K22" s="24"/>
      <c r="L22" s="24"/>
      <c r="M22" t="s">
        <v>117</v>
      </c>
      <c r="U22" s="3" t="s">
        <v>92</v>
      </c>
      <c r="V22" s="16">
        <v>2.8465884398087789E-2</v>
      </c>
      <c r="X22" s="21" t="s">
        <v>132</v>
      </c>
      <c r="Y22" s="21"/>
      <c r="AB22" s="20" t="s">
        <v>142</v>
      </c>
      <c r="AC22" s="20"/>
      <c r="AJ22" s="19" t="s">
        <v>154</v>
      </c>
      <c r="AK22" s="19"/>
      <c r="AS22" s="3" t="s">
        <v>79</v>
      </c>
      <c r="AT22" s="8">
        <v>423300</v>
      </c>
      <c r="BA22" s="18" t="s">
        <v>175</v>
      </c>
      <c r="BB22" s="18"/>
      <c r="BC22" s="18"/>
    </row>
    <row r="23" spans="2:56" x14ac:dyDescent="0.3">
      <c r="B23" s="12" t="s">
        <v>182</v>
      </c>
      <c r="M23" t="s">
        <v>116</v>
      </c>
      <c r="U23" s="3" t="s">
        <v>75</v>
      </c>
      <c r="V23" s="16">
        <v>2.4119947848761408E-2</v>
      </c>
      <c r="X23" s="21"/>
      <c r="Y23" s="21"/>
      <c r="AB23" s="20"/>
      <c r="AC23" s="20"/>
      <c r="AJ23" s="19"/>
      <c r="AK23" s="19"/>
      <c r="AS23" s="3" t="s">
        <v>85</v>
      </c>
      <c r="AT23" s="8">
        <v>441150</v>
      </c>
      <c r="BA23" s="18"/>
      <c r="BB23" s="18"/>
      <c r="BC23" s="18"/>
    </row>
    <row r="24" spans="2:56" x14ac:dyDescent="0.3">
      <c r="K24" s="2" t="s">
        <v>100</v>
      </c>
      <c r="L24" s="2" t="s">
        <v>111</v>
      </c>
      <c r="U24" s="3" t="s">
        <v>71</v>
      </c>
      <c r="V24" s="16">
        <v>1.977401129943503E-2</v>
      </c>
      <c r="X24" s="2" t="s">
        <v>98</v>
      </c>
      <c r="Y24" t="s">
        <v>101</v>
      </c>
      <c r="AB24" s="2" t="s">
        <v>98</v>
      </c>
      <c r="AC24" t="s">
        <v>144</v>
      </c>
      <c r="AJ24" s="2" t="s">
        <v>98</v>
      </c>
      <c r="AK24" t="s">
        <v>155</v>
      </c>
      <c r="AS24" s="3" t="s">
        <v>89</v>
      </c>
      <c r="AT24" s="8">
        <v>448800</v>
      </c>
    </row>
    <row r="25" spans="2:56" x14ac:dyDescent="0.3">
      <c r="B25" t="s">
        <v>100</v>
      </c>
      <c r="C25" t="s">
        <v>183</v>
      </c>
      <c r="K25" s="2" t="s">
        <v>98</v>
      </c>
      <c r="L25" t="s">
        <v>43</v>
      </c>
      <c r="M25" t="s">
        <v>19</v>
      </c>
      <c r="N25" t="s">
        <v>40</v>
      </c>
      <c r="O25" t="s">
        <v>47</v>
      </c>
      <c r="U25" s="3" t="s">
        <v>63</v>
      </c>
      <c r="V25" s="16">
        <v>3.172533681008257E-2</v>
      </c>
      <c r="X25" s="3" t="s">
        <v>49</v>
      </c>
      <c r="Y25" s="8">
        <v>422000</v>
      </c>
      <c r="AB25" s="3" t="s">
        <v>14</v>
      </c>
      <c r="AC25" s="8">
        <v>45016</v>
      </c>
      <c r="AJ25" s="3" t="s">
        <v>49</v>
      </c>
      <c r="AK25" s="8">
        <v>23000</v>
      </c>
      <c r="AS25" s="3" t="s">
        <v>90</v>
      </c>
      <c r="AT25" s="8">
        <v>457300</v>
      </c>
      <c r="BA25" s="2" t="s">
        <v>104</v>
      </c>
      <c r="BB25" s="2" t="s">
        <v>111</v>
      </c>
    </row>
    <row r="26" spans="2:56" x14ac:dyDescent="0.3">
      <c r="B26" s="8">
        <v>9949000</v>
      </c>
      <c r="K26" s="3" t="s">
        <v>6</v>
      </c>
      <c r="L26" s="15">
        <v>0.31684334511189632</v>
      </c>
      <c r="M26" s="15">
        <v>7.7738515901060068E-2</v>
      </c>
      <c r="N26" s="15">
        <v>0.29328621908127206</v>
      </c>
      <c r="O26" s="15">
        <v>0.31213191990577149</v>
      </c>
      <c r="U26" s="3" t="s">
        <v>65</v>
      </c>
      <c r="V26" s="16">
        <v>3.0421555845284658E-2</v>
      </c>
      <c r="X26" s="3" t="s">
        <v>19</v>
      </c>
      <c r="Y26" s="8">
        <v>538000</v>
      </c>
      <c r="AB26" s="3" t="s">
        <v>7</v>
      </c>
      <c r="AC26" s="8">
        <v>43690</v>
      </c>
      <c r="AJ26" s="3" t="s">
        <v>19</v>
      </c>
      <c r="AK26" s="8">
        <v>24000</v>
      </c>
      <c r="AS26" s="3" t="s">
        <v>95</v>
      </c>
      <c r="AT26" s="8">
        <v>487900</v>
      </c>
      <c r="BA26" s="2" t="s">
        <v>98</v>
      </c>
      <c r="BB26" t="s">
        <v>46</v>
      </c>
      <c r="BC26" t="s">
        <v>42</v>
      </c>
      <c r="BD26" t="s">
        <v>99</v>
      </c>
    </row>
    <row r="27" spans="2:56" x14ac:dyDescent="0.3">
      <c r="K27" s="3" t="s">
        <v>60</v>
      </c>
      <c r="L27" s="15">
        <v>0.31073446327683618</v>
      </c>
      <c r="M27" s="15">
        <v>7.909604519774012E-2</v>
      </c>
      <c r="N27" s="15">
        <v>0.27909604519774012</v>
      </c>
      <c r="O27" s="15">
        <v>0.3310734463276836</v>
      </c>
      <c r="U27" s="3" t="s">
        <v>64</v>
      </c>
      <c r="V27" s="16">
        <v>6.3016079965232509E-3</v>
      </c>
      <c r="X27" s="3" t="s">
        <v>15</v>
      </c>
      <c r="Y27" s="8">
        <v>362000</v>
      </c>
      <c r="AB27" s="3" t="s">
        <v>10</v>
      </c>
      <c r="AC27" s="8">
        <v>45998.076923076922</v>
      </c>
      <c r="AJ27" s="3" t="s">
        <v>15</v>
      </c>
      <c r="AK27" s="8">
        <v>20000</v>
      </c>
      <c r="AS27" s="3" t="s">
        <v>96</v>
      </c>
      <c r="AT27" s="8">
        <v>508300</v>
      </c>
      <c r="BA27" s="3" t="s">
        <v>14</v>
      </c>
      <c r="BB27" s="8">
        <v>894200</v>
      </c>
      <c r="BC27" s="8">
        <v>231200</v>
      </c>
      <c r="BD27" s="8">
        <v>1125400</v>
      </c>
    </row>
    <row r="28" spans="2:56" x14ac:dyDescent="0.3">
      <c r="B28" t="s">
        <v>101</v>
      </c>
      <c r="C28" t="s">
        <v>184</v>
      </c>
      <c r="K28" s="3" t="s">
        <v>69</v>
      </c>
      <c r="L28" s="15">
        <v>0.28429423459244535</v>
      </c>
      <c r="M28" s="15">
        <v>7.2564612326043734E-2</v>
      </c>
      <c r="N28" s="15">
        <v>0.33996023856858848</v>
      </c>
      <c r="O28" s="15">
        <v>0.30318091451292245</v>
      </c>
      <c r="U28" s="3" t="s">
        <v>22</v>
      </c>
      <c r="V28" s="16">
        <v>9.126466753585397E-3</v>
      </c>
      <c r="X28" s="3" t="s">
        <v>20</v>
      </c>
      <c r="Y28" s="8">
        <v>864000</v>
      </c>
      <c r="AB28" s="3" t="s">
        <v>17</v>
      </c>
      <c r="AC28" s="8">
        <v>45254</v>
      </c>
      <c r="AJ28" s="3" t="s">
        <v>20</v>
      </c>
      <c r="AK28" s="8">
        <v>36000</v>
      </c>
      <c r="AS28" s="3" t="s">
        <v>97</v>
      </c>
      <c r="AT28" s="8">
        <v>516800</v>
      </c>
      <c r="BA28" s="3" t="s">
        <v>7</v>
      </c>
      <c r="BB28" s="8">
        <v>698700</v>
      </c>
      <c r="BC28" s="8">
        <v>393550</v>
      </c>
      <c r="BD28" s="8">
        <v>1092250</v>
      </c>
    </row>
    <row r="29" spans="2:56" x14ac:dyDescent="0.3">
      <c r="B29" s="8">
        <v>4602000</v>
      </c>
      <c r="K29" s="3" t="s">
        <v>79</v>
      </c>
      <c r="L29" s="15">
        <v>0.21002132196162046</v>
      </c>
      <c r="M29" s="15">
        <v>0.16417910447761194</v>
      </c>
      <c r="N29" s="15">
        <v>0.28464818763326227</v>
      </c>
      <c r="O29" s="15">
        <v>0.34115138592750532</v>
      </c>
      <c r="U29" s="3" t="s">
        <v>25</v>
      </c>
      <c r="V29" s="16">
        <v>1.7601043024771838E-2</v>
      </c>
      <c r="X29" s="3" t="s">
        <v>11</v>
      </c>
      <c r="Y29" s="8">
        <v>713000</v>
      </c>
      <c r="AB29" s="3" t="s">
        <v>99</v>
      </c>
      <c r="AC29" s="8">
        <v>44999.504950495051</v>
      </c>
      <c r="AJ29" s="3" t="s">
        <v>11</v>
      </c>
      <c r="AK29" s="8">
        <v>32000</v>
      </c>
      <c r="AS29" s="3" t="s">
        <v>99</v>
      </c>
      <c r="AT29" s="8">
        <v>4544950</v>
      </c>
      <c r="BA29" s="3" t="s">
        <v>10</v>
      </c>
      <c r="BB29" s="8">
        <v>961350</v>
      </c>
      <c r="BC29" s="8">
        <v>234600</v>
      </c>
      <c r="BD29" s="8">
        <v>1195950</v>
      </c>
    </row>
    <row r="30" spans="2:56" x14ac:dyDescent="0.3">
      <c r="K30" s="3" t="s">
        <v>85</v>
      </c>
      <c r="L30" s="15">
        <v>0.3112719751809721</v>
      </c>
      <c r="M30" s="15">
        <v>8.4798345398138575E-2</v>
      </c>
      <c r="N30" s="15">
        <v>0.2730093071354705</v>
      </c>
      <c r="O30" s="15">
        <v>0.33092037228541882</v>
      </c>
      <c r="U30" s="3" t="s">
        <v>11</v>
      </c>
      <c r="V30" s="16">
        <v>6.4971751412429377E-2</v>
      </c>
      <c r="X30" s="3" t="s">
        <v>21</v>
      </c>
      <c r="Y30" s="8">
        <v>516000</v>
      </c>
      <c r="AB30" t="s">
        <v>143</v>
      </c>
      <c r="AJ30" s="3" t="s">
        <v>21</v>
      </c>
      <c r="AK30" s="8">
        <v>22000</v>
      </c>
      <c r="AS30" t="s">
        <v>166</v>
      </c>
      <c r="BA30" s="3" t="s">
        <v>17</v>
      </c>
      <c r="BB30" s="8">
        <v>810050</v>
      </c>
      <c r="BC30" s="8">
        <v>321300</v>
      </c>
      <c r="BD30" s="8">
        <v>1131350</v>
      </c>
    </row>
    <row r="31" spans="2:56" x14ac:dyDescent="0.3">
      <c r="B31" t="s">
        <v>104</v>
      </c>
      <c r="C31" t="s">
        <v>185</v>
      </c>
      <c r="K31" s="3" t="s">
        <v>89</v>
      </c>
      <c r="L31" s="15">
        <v>0.29826353421859042</v>
      </c>
      <c r="M31" s="15">
        <v>9.193054136874361E-2</v>
      </c>
      <c r="N31" s="15">
        <v>0.27374872318692545</v>
      </c>
      <c r="O31" s="15">
        <v>0.33605720122574056</v>
      </c>
      <c r="U31" s="3" t="s">
        <v>80</v>
      </c>
      <c r="V31" s="16">
        <v>2.8031290743155149E-2</v>
      </c>
      <c r="X31" s="3" t="s">
        <v>8</v>
      </c>
      <c r="Y31" s="8">
        <v>1187000</v>
      </c>
      <c r="AB31" s="3" t="s">
        <v>146</v>
      </c>
      <c r="AJ31" s="3" t="s">
        <v>8</v>
      </c>
      <c r="AK31" s="8">
        <v>58000</v>
      </c>
      <c r="AS31" t="s">
        <v>114</v>
      </c>
      <c r="BA31" s="3" t="s">
        <v>99</v>
      </c>
      <c r="BB31" s="8">
        <v>3364300</v>
      </c>
      <c r="BC31" s="8">
        <v>1180650</v>
      </c>
      <c r="BD31" s="8">
        <v>4544950</v>
      </c>
    </row>
    <row r="32" spans="2:56" x14ac:dyDescent="0.3">
      <c r="B32" s="8">
        <v>4544950</v>
      </c>
      <c r="G32" s="24" t="s">
        <v>121</v>
      </c>
      <c r="H32" s="24"/>
      <c r="K32" s="3" t="s">
        <v>90</v>
      </c>
      <c r="L32" s="15">
        <v>0.28225806451612906</v>
      </c>
      <c r="M32" s="15">
        <v>0.17540322580645162</v>
      </c>
      <c r="N32" s="15">
        <v>0.18548387096774194</v>
      </c>
      <c r="O32" s="15">
        <v>0.35685483870967744</v>
      </c>
      <c r="U32" s="3" t="s">
        <v>82</v>
      </c>
      <c r="V32" s="16">
        <v>3.0638852672750978E-2</v>
      </c>
      <c r="X32" s="3" t="s">
        <v>99</v>
      </c>
      <c r="Y32" s="8">
        <v>4602000</v>
      </c>
      <c r="AJ32" s="3" t="s">
        <v>99</v>
      </c>
      <c r="AK32" s="8">
        <v>215000</v>
      </c>
      <c r="BA32" t="s">
        <v>176</v>
      </c>
    </row>
    <row r="33" spans="2:54" x14ac:dyDescent="0.3">
      <c r="G33" s="24"/>
      <c r="H33" s="24"/>
      <c r="K33" s="3" t="s">
        <v>95</v>
      </c>
      <c r="L33" s="15">
        <v>0.32222222222222224</v>
      </c>
      <c r="M33" s="15">
        <v>8.5185185185185183E-2</v>
      </c>
      <c r="N33" s="15">
        <v>0.25648148148148148</v>
      </c>
      <c r="O33" s="15">
        <v>0.33611111111111114</v>
      </c>
      <c r="U33" s="3" t="s">
        <v>91</v>
      </c>
      <c r="V33" s="16">
        <v>2.0208604954367666E-2</v>
      </c>
      <c r="X33" t="s">
        <v>133</v>
      </c>
      <c r="AB33" s="20" t="s">
        <v>145</v>
      </c>
      <c r="AC33" s="20"/>
      <c r="AJ33" t="s">
        <v>156</v>
      </c>
      <c r="AS33" s="17" t="s">
        <v>167</v>
      </c>
      <c r="AT33" s="17"/>
      <c r="BA33" t="s">
        <v>137</v>
      </c>
    </row>
    <row r="34" spans="2:54" x14ac:dyDescent="0.3">
      <c r="B34" t="s">
        <v>107</v>
      </c>
      <c r="C34" t="s">
        <v>186</v>
      </c>
      <c r="K34" s="3" t="s">
        <v>96</v>
      </c>
      <c r="L34" s="15">
        <v>0.29453894359892568</v>
      </c>
      <c r="M34" s="15">
        <v>8.4153983885407346E-2</v>
      </c>
      <c r="N34" s="15">
        <v>0.25693822739480754</v>
      </c>
      <c r="O34" s="15">
        <v>0.36436884512085943</v>
      </c>
      <c r="U34" s="3" t="s">
        <v>56</v>
      </c>
      <c r="V34" s="16">
        <v>2.4337244676227728E-2</v>
      </c>
      <c r="X34" s="3" t="s">
        <v>134</v>
      </c>
      <c r="AB34" s="20"/>
      <c r="AC34" s="20"/>
      <c r="AJ34" s="3" t="s">
        <v>146</v>
      </c>
      <c r="AS34" s="17"/>
      <c r="AT34" s="17"/>
    </row>
    <row r="35" spans="2:54" x14ac:dyDescent="0.3">
      <c r="B35" s="8">
        <v>9734000</v>
      </c>
      <c r="G35" s="2" t="s">
        <v>98</v>
      </c>
      <c r="H35" t="s">
        <v>100</v>
      </c>
      <c r="K35" s="3" t="s">
        <v>97</v>
      </c>
      <c r="L35" s="15">
        <v>0.2984154929577465</v>
      </c>
      <c r="M35" s="15">
        <v>8.6267605633802813E-2</v>
      </c>
      <c r="N35" s="15">
        <v>0.25616197183098594</v>
      </c>
      <c r="O35" s="15">
        <v>0.35915492957746481</v>
      </c>
      <c r="U35" s="3" t="s">
        <v>74</v>
      </c>
      <c r="V35" s="16">
        <v>3.0856149500217298E-2</v>
      </c>
      <c r="AB35" s="2" t="s">
        <v>98</v>
      </c>
      <c r="AC35" t="s">
        <v>100</v>
      </c>
      <c r="AD35" t="s">
        <v>104</v>
      </c>
      <c r="AS35" s="2" t="s">
        <v>98</v>
      </c>
      <c r="AT35" t="s">
        <v>104</v>
      </c>
      <c r="AU35" t="s">
        <v>109</v>
      </c>
      <c r="BA35" s="18" t="s">
        <v>177</v>
      </c>
      <c r="BB35" s="18"/>
    </row>
    <row r="36" spans="2:54" x14ac:dyDescent="0.3">
      <c r="G36" s="3" t="s">
        <v>46</v>
      </c>
      <c r="H36" s="8">
        <v>7273000</v>
      </c>
      <c r="U36" s="3" t="s">
        <v>23</v>
      </c>
      <c r="V36" s="16">
        <v>2.2816166883963495E-2</v>
      </c>
      <c r="X36" s="21" t="s">
        <v>135</v>
      </c>
      <c r="Y36" s="21"/>
      <c r="AB36" s="3" t="s">
        <v>6</v>
      </c>
      <c r="AC36">
        <v>849000</v>
      </c>
      <c r="AD36">
        <v>396950</v>
      </c>
      <c r="AJ36" s="19" t="s">
        <v>157</v>
      </c>
      <c r="AK36" s="19"/>
      <c r="AS36" s="3" t="s">
        <v>6</v>
      </c>
      <c r="AT36" s="8">
        <v>396950</v>
      </c>
      <c r="AU36" s="8">
        <v>396950</v>
      </c>
      <c r="BA36" s="18"/>
      <c r="BB36" s="18"/>
    </row>
    <row r="37" spans="2:54" x14ac:dyDescent="0.3">
      <c r="B37" t="s">
        <v>109</v>
      </c>
      <c r="C37" t="s">
        <v>188</v>
      </c>
      <c r="D37" s="8"/>
      <c r="G37" s="3" t="s">
        <v>42</v>
      </c>
      <c r="H37" s="8">
        <v>2676000</v>
      </c>
      <c r="U37" s="3" t="s">
        <v>93</v>
      </c>
      <c r="V37" s="16">
        <v>1.6297262059973925E-2</v>
      </c>
      <c r="X37" s="21"/>
      <c r="Y37" s="21"/>
      <c r="AB37" s="3" t="s">
        <v>60</v>
      </c>
      <c r="AC37">
        <v>885000</v>
      </c>
      <c r="AD37">
        <v>403750</v>
      </c>
      <c r="AJ37" s="19"/>
      <c r="AK37" s="19"/>
      <c r="AS37" s="3" t="s">
        <v>60</v>
      </c>
      <c r="AT37" s="8">
        <v>403750</v>
      </c>
      <c r="AU37" s="8">
        <v>403750</v>
      </c>
    </row>
    <row r="38" spans="2:54" x14ac:dyDescent="0.3">
      <c r="B38" s="8">
        <v>4544950</v>
      </c>
      <c r="G38" s="3" t="s">
        <v>99</v>
      </c>
      <c r="H38" s="8">
        <v>9949000</v>
      </c>
      <c r="K38" s="24" t="s">
        <v>118</v>
      </c>
      <c r="L38" s="24"/>
      <c r="U38" s="3" t="s">
        <v>78</v>
      </c>
      <c r="V38" s="16">
        <v>3.6505867014341588E-2</v>
      </c>
      <c r="X38" s="2" t="s">
        <v>98</v>
      </c>
      <c r="Y38" t="s">
        <v>101</v>
      </c>
      <c r="Z38" t="s">
        <v>100</v>
      </c>
      <c r="AB38" s="3" t="s">
        <v>69</v>
      </c>
      <c r="AC38">
        <v>1006000</v>
      </c>
      <c r="AD38">
        <v>460700</v>
      </c>
      <c r="AJ38" s="2" t="s">
        <v>98</v>
      </c>
      <c r="AK38" t="s">
        <v>158</v>
      </c>
      <c r="AS38" s="3" t="s">
        <v>69</v>
      </c>
      <c r="AT38" s="8">
        <v>460700</v>
      </c>
      <c r="AU38" s="8">
        <v>460700</v>
      </c>
      <c r="BA38" s="2" t="s">
        <v>98</v>
      </c>
      <c r="BB38" t="s">
        <v>178</v>
      </c>
    </row>
    <row r="39" spans="2:54" x14ac:dyDescent="0.3">
      <c r="G39" t="s">
        <v>122</v>
      </c>
      <c r="K39" s="24"/>
      <c r="L39" s="24"/>
      <c r="U39" s="3" t="s">
        <v>86</v>
      </c>
      <c r="V39" s="16">
        <v>2.6510212950890916E-2</v>
      </c>
      <c r="X39" s="3" t="s">
        <v>6</v>
      </c>
      <c r="Y39" s="8">
        <v>382000</v>
      </c>
      <c r="Z39" s="8">
        <v>849000</v>
      </c>
      <c r="AB39" s="3" t="s">
        <v>79</v>
      </c>
      <c r="AC39">
        <v>938000</v>
      </c>
      <c r="AD39">
        <v>423300</v>
      </c>
      <c r="AJ39" s="3" t="s">
        <v>6</v>
      </c>
      <c r="AK39" s="8">
        <v>2600</v>
      </c>
      <c r="AS39" s="3" t="s">
        <v>79</v>
      </c>
      <c r="AT39" s="8">
        <v>423300</v>
      </c>
      <c r="AU39" s="8">
        <v>423300</v>
      </c>
      <c r="BA39" s="3" t="s">
        <v>46</v>
      </c>
      <c r="BB39" s="8">
        <v>102436.61971830986</v>
      </c>
    </row>
    <row r="40" spans="2:54" x14ac:dyDescent="0.3">
      <c r="B40" t="s">
        <v>187</v>
      </c>
      <c r="C40" t="s">
        <v>189</v>
      </c>
      <c r="G40" t="s">
        <v>123</v>
      </c>
      <c r="U40" s="3" t="s">
        <v>76</v>
      </c>
      <c r="V40" s="16">
        <v>2.6727509778357236E-2</v>
      </c>
      <c r="X40" s="3" t="s">
        <v>60</v>
      </c>
      <c r="Y40" s="8">
        <v>410000</v>
      </c>
      <c r="Z40" s="8">
        <v>885000</v>
      </c>
      <c r="AB40" s="3" t="s">
        <v>85</v>
      </c>
      <c r="AC40">
        <v>967000</v>
      </c>
      <c r="AD40">
        <v>441150</v>
      </c>
      <c r="AJ40" s="3" t="s">
        <v>60</v>
      </c>
      <c r="AK40" s="8">
        <v>1900</v>
      </c>
      <c r="AS40" s="3" t="s">
        <v>85</v>
      </c>
      <c r="AT40" s="8">
        <v>441150</v>
      </c>
      <c r="AU40" s="8">
        <v>441150</v>
      </c>
      <c r="BA40" s="3" t="s">
        <v>42</v>
      </c>
      <c r="BB40" s="8">
        <v>89200</v>
      </c>
    </row>
    <row r="41" spans="2:54" x14ac:dyDescent="0.3">
      <c r="B41">
        <v>101</v>
      </c>
      <c r="K41" s="2" t="s">
        <v>98</v>
      </c>
      <c r="L41" t="s">
        <v>100</v>
      </c>
      <c r="M41" t="s">
        <v>119</v>
      </c>
      <c r="U41" s="3" t="s">
        <v>59</v>
      </c>
      <c r="V41" s="16">
        <v>3.1508039982616254E-2</v>
      </c>
      <c r="X41" s="3" t="s">
        <v>69</v>
      </c>
      <c r="Y41" s="8">
        <v>464000</v>
      </c>
      <c r="Z41" s="8">
        <v>1006000</v>
      </c>
      <c r="AB41" s="3" t="s">
        <v>89</v>
      </c>
      <c r="AC41">
        <v>979000</v>
      </c>
      <c r="AD41">
        <v>448800</v>
      </c>
      <c r="AJ41" s="3" t="s">
        <v>69</v>
      </c>
      <c r="AK41" s="8">
        <v>2181.818181818182</v>
      </c>
      <c r="AS41" s="3" t="s">
        <v>89</v>
      </c>
      <c r="AT41" s="8">
        <v>448800</v>
      </c>
      <c r="AU41" s="8">
        <v>448800</v>
      </c>
      <c r="BA41" s="3" t="s">
        <v>99</v>
      </c>
      <c r="BB41" s="8">
        <v>98504.950495049503</v>
      </c>
    </row>
    <row r="42" spans="2:54" x14ac:dyDescent="0.3">
      <c r="K42" s="3" t="s">
        <v>55</v>
      </c>
      <c r="L42" s="8">
        <v>591000</v>
      </c>
      <c r="M42" t="s">
        <v>120</v>
      </c>
      <c r="U42" s="3" t="s">
        <v>81</v>
      </c>
      <c r="V42" s="16">
        <v>3.5202086049543675E-2</v>
      </c>
      <c r="X42" s="3" t="s">
        <v>79</v>
      </c>
      <c r="Y42" s="8">
        <v>440000</v>
      </c>
      <c r="Z42" s="8">
        <v>938000</v>
      </c>
      <c r="AB42" s="3" t="s">
        <v>90</v>
      </c>
      <c r="AC42">
        <v>992000</v>
      </c>
      <c r="AD42">
        <v>457300</v>
      </c>
      <c r="AJ42" s="3" t="s">
        <v>79</v>
      </c>
      <c r="AK42" s="8">
        <v>2000</v>
      </c>
      <c r="AS42" s="3" t="s">
        <v>90</v>
      </c>
      <c r="AT42" s="8">
        <v>457300</v>
      </c>
      <c r="AU42" s="8">
        <v>457300</v>
      </c>
      <c r="BA42" t="s">
        <v>179</v>
      </c>
    </row>
    <row r="43" spans="2:54" x14ac:dyDescent="0.3">
      <c r="K43" s="3" t="s">
        <v>52</v>
      </c>
      <c r="L43" s="8">
        <v>827000</v>
      </c>
      <c r="U43" s="3" t="s">
        <v>73</v>
      </c>
      <c r="V43" s="16">
        <v>1.4776184267709691E-2</v>
      </c>
      <c r="X43" s="3" t="s">
        <v>85</v>
      </c>
      <c r="Y43" s="8">
        <v>448000</v>
      </c>
      <c r="Z43" s="8">
        <v>967000</v>
      </c>
      <c r="AB43" s="3" t="s">
        <v>95</v>
      </c>
      <c r="AC43">
        <v>1080000</v>
      </c>
      <c r="AD43">
        <v>487900</v>
      </c>
      <c r="AJ43" s="3" t="s">
        <v>85</v>
      </c>
      <c r="AK43" s="8">
        <v>2100</v>
      </c>
      <c r="AS43" s="3" t="s">
        <v>95</v>
      </c>
      <c r="AT43" s="8">
        <v>487900</v>
      </c>
      <c r="AU43" s="8">
        <v>487900</v>
      </c>
      <c r="BA43" s="3" t="s">
        <v>146</v>
      </c>
    </row>
    <row r="44" spans="2:54" x14ac:dyDescent="0.3">
      <c r="K44" s="3" t="s">
        <v>24</v>
      </c>
      <c r="L44" s="8">
        <v>993000</v>
      </c>
      <c r="U44" s="3" t="s">
        <v>88</v>
      </c>
      <c r="V44" s="16">
        <v>7.8226857887874843E-3</v>
      </c>
      <c r="X44" s="3" t="s">
        <v>89</v>
      </c>
      <c r="Y44" s="8">
        <v>451000</v>
      </c>
      <c r="Z44" s="8">
        <v>979000</v>
      </c>
      <c r="AB44" s="3" t="s">
        <v>96</v>
      </c>
      <c r="AC44">
        <v>1117000</v>
      </c>
      <c r="AD44">
        <v>508300</v>
      </c>
      <c r="AJ44" s="3" t="s">
        <v>89</v>
      </c>
      <c r="AK44" s="8">
        <v>2200</v>
      </c>
      <c r="AS44" s="3" t="s">
        <v>96</v>
      </c>
      <c r="AT44" s="8">
        <v>508300</v>
      </c>
      <c r="AU44" s="8">
        <v>508300</v>
      </c>
    </row>
    <row r="45" spans="2:54" x14ac:dyDescent="0.3">
      <c r="K45" s="3" t="s">
        <v>57</v>
      </c>
      <c r="L45" s="8">
        <v>1111000</v>
      </c>
      <c r="U45" s="3" t="s">
        <v>28</v>
      </c>
      <c r="V45" s="16">
        <v>3.172533681008257E-2</v>
      </c>
      <c r="X45" s="3" t="s">
        <v>90</v>
      </c>
      <c r="Y45" s="8">
        <v>454000</v>
      </c>
      <c r="Z45" s="8">
        <v>992000</v>
      </c>
      <c r="AB45" s="3" t="s">
        <v>97</v>
      </c>
      <c r="AC45">
        <v>1136000</v>
      </c>
      <c r="AD45">
        <v>516800</v>
      </c>
      <c r="AJ45" s="3" t="s">
        <v>90</v>
      </c>
      <c r="AK45" s="8">
        <v>2000</v>
      </c>
      <c r="AS45" s="3" t="s">
        <v>97</v>
      </c>
      <c r="AT45" s="8">
        <v>516800</v>
      </c>
      <c r="AU45" s="8">
        <v>516800</v>
      </c>
    </row>
    <row r="46" spans="2:54" x14ac:dyDescent="0.3">
      <c r="K46" s="3" t="s">
        <v>58</v>
      </c>
      <c r="L46" s="8">
        <v>719000</v>
      </c>
      <c r="U46" s="3" t="s">
        <v>61</v>
      </c>
      <c r="V46" s="16">
        <v>1.7383746197305518E-2</v>
      </c>
      <c r="X46" s="3" t="s">
        <v>95</v>
      </c>
      <c r="Y46" s="8">
        <v>506000</v>
      </c>
      <c r="Z46" s="8">
        <v>1080000</v>
      </c>
      <c r="AB46" s="3" t="s">
        <v>99</v>
      </c>
      <c r="AC46">
        <v>9949000</v>
      </c>
      <c r="AD46">
        <v>4544950</v>
      </c>
      <c r="AJ46" s="3" t="s">
        <v>95</v>
      </c>
      <c r="AK46" s="8">
        <v>2200</v>
      </c>
      <c r="AS46" s="3" t="s">
        <v>99</v>
      </c>
      <c r="AT46" s="8">
        <v>4544950</v>
      </c>
      <c r="AU46" s="8">
        <v>4544950</v>
      </c>
    </row>
    <row r="47" spans="2:54" x14ac:dyDescent="0.3">
      <c r="K47" s="3" t="s">
        <v>41</v>
      </c>
      <c r="L47" s="8">
        <v>2085000</v>
      </c>
      <c r="U47" s="3" t="s">
        <v>77</v>
      </c>
      <c r="V47" s="16">
        <v>3.0856149500217298E-2</v>
      </c>
      <c r="X47" s="3" t="s">
        <v>96</v>
      </c>
      <c r="Y47" s="8">
        <v>519000</v>
      </c>
      <c r="Z47" s="8">
        <v>1117000</v>
      </c>
      <c r="AB47" t="s">
        <v>147</v>
      </c>
      <c r="AJ47" s="3" t="s">
        <v>96</v>
      </c>
      <c r="AK47" s="8">
        <v>2100</v>
      </c>
      <c r="AS47" t="s">
        <v>168</v>
      </c>
    </row>
    <row r="48" spans="2:54" x14ac:dyDescent="0.3">
      <c r="K48" s="3" t="s">
        <v>53</v>
      </c>
      <c r="L48" s="8">
        <v>1470000</v>
      </c>
      <c r="U48" s="3" t="s">
        <v>51</v>
      </c>
      <c r="V48" s="16">
        <v>9.9956540634506732E-3</v>
      </c>
      <c r="X48" s="3" t="s">
        <v>97</v>
      </c>
      <c r="Y48" s="8">
        <v>528000</v>
      </c>
      <c r="Z48" s="8">
        <v>1136000</v>
      </c>
      <c r="AB48" t="s">
        <v>148</v>
      </c>
      <c r="AJ48" s="3" t="s">
        <v>97</v>
      </c>
      <c r="AK48" s="8">
        <v>2000</v>
      </c>
      <c r="AS48" t="s">
        <v>169</v>
      </c>
    </row>
    <row r="49" spans="11:37" x14ac:dyDescent="0.3">
      <c r="K49" s="3" t="s">
        <v>44</v>
      </c>
      <c r="L49" s="8">
        <v>978000</v>
      </c>
      <c r="U49" s="3" t="s">
        <v>94</v>
      </c>
      <c r="V49" s="16">
        <v>1.0212950890916993E-2</v>
      </c>
      <c r="X49" s="3" t="s">
        <v>99</v>
      </c>
      <c r="Y49" s="8">
        <v>4602000</v>
      </c>
      <c r="Z49" s="8">
        <v>9949000</v>
      </c>
      <c r="AJ49" s="3" t="s">
        <v>99</v>
      </c>
      <c r="AK49" s="8">
        <v>2128.7128712871286</v>
      </c>
    </row>
    <row r="50" spans="11:37" x14ac:dyDescent="0.3">
      <c r="K50" s="3" t="s">
        <v>48</v>
      </c>
      <c r="L50" s="8">
        <v>1175000</v>
      </c>
      <c r="U50" s="3" t="s">
        <v>99</v>
      </c>
      <c r="V50" s="16">
        <v>1</v>
      </c>
      <c r="X50" t="s">
        <v>136</v>
      </c>
      <c r="AJ50" t="s">
        <v>159</v>
      </c>
    </row>
    <row r="51" spans="11:37" x14ac:dyDescent="0.3">
      <c r="K51" s="3" t="s">
        <v>99</v>
      </c>
      <c r="L51" s="8">
        <v>9949000</v>
      </c>
      <c r="X51" t="s">
        <v>137</v>
      </c>
      <c r="AJ51" s="3" t="s">
        <v>141</v>
      </c>
    </row>
  </sheetData>
  <mergeCells count="26">
    <mergeCell ref="B7:C7"/>
    <mergeCell ref="K2:L3"/>
    <mergeCell ref="K21:L22"/>
    <mergeCell ref="K38:L39"/>
    <mergeCell ref="G32:H33"/>
    <mergeCell ref="U4:V5"/>
    <mergeCell ref="T7:T8"/>
    <mergeCell ref="X36:Y37"/>
    <mergeCell ref="X4:Y5"/>
    <mergeCell ref="X22:Y23"/>
    <mergeCell ref="AB4:AC5"/>
    <mergeCell ref="AB22:AC23"/>
    <mergeCell ref="AB33:AC34"/>
    <mergeCell ref="AE4:AF5"/>
    <mergeCell ref="AJ4:AK5"/>
    <mergeCell ref="AJ22:AK23"/>
    <mergeCell ref="AJ36:AK37"/>
    <mergeCell ref="AN4:AP5"/>
    <mergeCell ref="AS4:AT5"/>
    <mergeCell ref="AS16:AT17"/>
    <mergeCell ref="AS33:AT34"/>
    <mergeCell ref="AV4:AW5"/>
    <mergeCell ref="BA4:BC5"/>
    <mergeCell ref="BA22:BC23"/>
    <mergeCell ref="BA35:BB36"/>
    <mergeCell ref="BF4:BH5"/>
  </mergeCells>
  <pageMargins left="0.7" right="0.7" top="0.75" bottom="0.75" header="0.3" footer="0.3"/>
  <drawing r:id="rId36"/>
  <extLst>
    <ext xmlns:x14="http://schemas.microsoft.com/office/spreadsheetml/2009/9/main" uri="{A8765BA9-456A-4dab-B4F3-ACF838C121DE}">
      <x14:slicerList>
        <x14:slicer r:id="rId3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750D-AAEE-408E-9538-CF309311AABF}">
  <dimension ref="E8:E13"/>
  <sheetViews>
    <sheetView showGridLines="0" showRowColHeaders="0" workbookViewId="0"/>
  </sheetViews>
  <sheetFormatPr defaultRowHeight="14.4" x14ac:dyDescent="0.3"/>
  <cols>
    <col min="5" max="5" width="11.109375" bestFit="1" customWidth="1"/>
  </cols>
  <sheetData>
    <row r="8" spans="5:5" x14ac:dyDescent="0.3">
      <c r="E8" s="13">
        <f>GETPIVOTDATA("Revenue",Pivots!$B$25)</f>
        <v>9949000</v>
      </c>
    </row>
    <row r="9" spans="5:5" x14ac:dyDescent="0.3">
      <c r="E9" s="13">
        <f>GETPIVOTDATA("Expense",Pivots!$B$28)</f>
        <v>4602000</v>
      </c>
    </row>
    <row r="10" spans="5:5" x14ac:dyDescent="0.3">
      <c r="E10" s="13">
        <f>GETPIVOTDATA("NetProfit",Pivots!$B$31)</f>
        <v>4544950</v>
      </c>
    </row>
    <row r="11" spans="5:5" x14ac:dyDescent="0.3">
      <c r="E11" s="13">
        <f>GETPIVOTDATA("Budget",Pivots!$B$34)</f>
        <v>9734000</v>
      </c>
    </row>
    <row r="12" spans="5:5" x14ac:dyDescent="0.3">
      <c r="E12" s="13">
        <f>GETPIVOTDATA("CashFlow",Pivots!$B$37)</f>
        <v>4544950</v>
      </c>
    </row>
    <row r="13" spans="5:5" x14ac:dyDescent="0.3">
      <c r="E13" s="14">
        <f>GETPIVOTDATA("CustomerType",Pivots!$B$40)</f>
        <v>101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7555-D7A2-423A-B77E-1E3F8C446DB8}">
  <dimension ref="A1"/>
  <sheetViews>
    <sheetView showGridLines="0" showRowColHeader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2F44-2AF3-4D92-BD88-A561B8F16C7E}">
  <dimension ref="A1"/>
  <sheetViews>
    <sheetView showGridLines="0" showRowColHeader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625AE-64FF-4846-8CA1-380499C5A377}">
  <dimension ref="A1"/>
  <sheetViews>
    <sheetView showGridLines="0" showRowColHeader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91A21-E4EF-45A3-9DD4-9AFFA9BB5741}">
  <dimension ref="A1"/>
  <sheetViews>
    <sheetView showGridLines="0" showRowColHeader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0EE70-0338-47DF-9461-1BCF0970FACF}">
  <dimension ref="A1"/>
  <sheetViews>
    <sheetView showGridLines="0" showRowColHeader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D291-4263-44AA-8E71-A34E0E494E7F}">
  <dimension ref="A1"/>
  <sheetViews>
    <sheetView showGridLines="0" showRowColHeader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Pivots</vt:lpstr>
      <vt:lpstr>Main_Dash</vt:lpstr>
      <vt:lpstr>Rev</vt:lpstr>
      <vt:lpstr>Exp</vt:lpstr>
      <vt:lpstr>Profit</vt:lpstr>
      <vt:lpstr>budget</vt:lpstr>
      <vt:lpstr>cash_flow</vt:lpstr>
      <vt:lpstr>cust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Vidhu Madhan</cp:lastModifiedBy>
  <dcterms:created xsi:type="dcterms:W3CDTF">2015-06-05T18:17:20Z</dcterms:created>
  <dcterms:modified xsi:type="dcterms:W3CDTF">2026-06-21T09:28:43Z</dcterms:modified>
</cp:coreProperties>
</file>